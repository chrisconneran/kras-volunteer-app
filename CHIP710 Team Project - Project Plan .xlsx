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codeName="ThisWorkbook"/>
  <mc:AlternateContent xmlns:mc="http://schemas.openxmlformats.org/markup-compatibility/2006">
    <mc:Choice Requires="x15">
      <x15ac:absPath xmlns:x15ac="http://schemas.microsoft.com/office/spreadsheetml/2010/11/ac" url="https://d.docs.live.net/8bf5adb5ab0053c7/Documentos/School/2025 - Fall/System Analysis in Healthcare/Team Project/"/>
    </mc:Choice>
  </mc:AlternateContent>
  <xr:revisionPtr revIDLastSave="0" documentId="8_{4C8095A6-20F7-428E-9171-3FAF50554ACE}" xr6:coauthVersionLast="47" xr6:coauthVersionMax="47" xr10:uidLastSave="{00000000-0000-0000-0000-000000000000}"/>
  <bookViews>
    <workbookView xWindow="-108" yWindow="-108" windowWidth="41496" windowHeight="17496" xr2:uid="{00000000-000D-0000-FFFF-FFFF00000000}"/>
  </bookViews>
  <sheets>
    <sheet name="Project schedule" sheetId="11" r:id="rId1"/>
    <sheet name="About" sheetId="12" r:id="rId2"/>
  </sheets>
  <definedNames>
    <definedName name="Display_Week">'Project schedule'!$R$3</definedName>
    <definedName name="_xlnm.Print_Titles" localSheetId="0">'Project schedule'!$4:$6</definedName>
    <definedName name="Project_Start">'Project schedule'!$R$2</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1" l="1"/>
  <c r="F8" i="11"/>
  <c r="F12" i="11"/>
  <c r="G12" i="11" s="1"/>
  <c r="F13" i="11"/>
  <c r="G13" i="11" s="1"/>
  <c r="F11" i="11"/>
  <c r="G11" i="11" s="1"/>
  <c r="F10" i="11"/>
  <c r="G10" i="11" s="1"/>
  <c r="I7" i="11"/>
  <c r="I34" i="11" l="1"/>
  <c r="I32" i="11"/>
  <c r="F9" i="11"/>
  <c r="J5" i="11" l="1"/>
  <c r="I41" i="11"/>
  <c r="I40" i="11"/>
  <c r="I35" i="11"/>
  <c r="I24" i="11"/>
  <c r="I17" i="11"/>
  <c r="I8" i="11"/>
  <c r="I25" i="11" l="1"/>
  <c r="I26" i="11"/>
  <c r="I9" i="11"/>
  <c r="J6" i="11"/>
  <c r="I36" i="11" l="1"/>
  <c r="I28" i="11"/>
  <c r="I18" i="11"/>
  <c r="K5" i="11"/>
  <c r="L5" i="11" s="1"/>
  <c r="M5" i="11" s="1"/>
  <c r="N5" i="11" s="1"/>
  <c r="O5" i="11" s="1"/>
  <c r="P5" i="11" s="1"/>
  <c r="Q5" i="11" s="1"/>
  <c r="I37" i="11" l="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N5" i="11" s="1"/>
  <c r="BL6" i="11"/>
  <c r="AG6" i="11"/>
  <c r="BN6" i="11" l="1"/>
  <c r="BN4" i="11"/>
  <c r="BO5" i="11"/>
  <c r="BM6" i="11"/>
  <c r="AH6" i="11"/>
  <c r="BO6" i="11" l="1"/>
  <c r="BP5" i="11"/>
  <c r="AI6" i="11"/>
  <c r="BP6" i="11" l="1"/>
  <c r="BQ5" i="11"/>
  <c r="AJ6" i="11"/>
  <c r="BQ6" i="11" l="1"/>
  <c r="BR5" i="11"/>
  <c r="AK6" i="11"/>
  <c r="BR6" i="11" l="1"/>
  <c r="BS5" i="11"/>
  <c r="AL6" i="11"/>
  <c r="BS6" i="11" l="1"/>
  <c r="BT5" i="11"/>
  <c r="AM6" i="11"/>
  <c r="BT6" i="11" l="1"/>
  <c r="BU5" i="11"/>
  <c r="AN6" i="11"/>
  <c r="BU6" i="11" l="1"/>
  <c r="BU4" i="11"/>
  <c r="BV5" i="11"/>
  <c r="AO6" i="11"/>
  <c r="BV6" i="11" l="1"/>
  <c r="BW5" i="11"/>
  <c r="AP6" i="11"/>
  <c r="BW6" i="11" l="1"/>
  <c r="BX5" i="11"/>
  <c r="AQ6" i="11"/>
  <c r="BX6" i="11" l="1"/>
  <c r="BY5" i="11"/>
  <c r="AR6" i="11"/>
  <c r="BY6" i="11" l="1"/>
  <c r="BZ5" i="11"/>
  <c r="AS6" i="11"/>
  <c r="BZ6" i="11" l="1"/>
  <c r="CA5" i="11"/>
  <c r="CA6" i="11" l="1"/>
  <c r="CB5" i="11"/>
  <c r="CB6" i="11" l="1"/>
  <c r="CB4" i="11"/>
  <c r="CC5" i="11"/>
  <c r="CC6" i="11" l="1"/>
  <c r="CD5" i="11"/>
  <c r="CE5" i="11" l="1"/>
  <c r="CD6" i="11"/>
  <c r="CE6" i="11" l="1"/>
  <c r="CF5" i="11"/>
  <c r="CF6" i="11" l="1"/>
  <c r="CG5" i="11"/>
  <c r="CG6" i="11" l="1"/>
  <c r="CH5" i="11"/>
  <c r="CH6" i="11" l="1"/>
  <c r="CI5" i="11"/>
  <c r="CI6" i="11" l="1"/>
  <c r="CJ5" i="11"/>
  <c r="CI4" i="11"/>
  <c r="CJ6" i="11" l="1"/>
  <c r="CK5" i="11"/>
  <c r="CK6" i="11" l="1"/>
  <c r="CL5" i="11"/>
  <c r="CL6" i="11" l="1"/>
  <c r="CM5" i="11"/>
  <c r="CM6" i="11" l="1"/>
  <c r="CN5" i="11"/>
  <c r="CN6" i="11" l="1"/>
  <c r="CO5" i="11"/>
  <c r="CO6" i="11" l="1"/>
  <c r="CP5" i="11"/>
  <c r="CP6" i="11" l="1"/>
  <c r="CP4" i="11"/>
  <c r="CQ5" i="11"/>
  <c r="CQ6" i="11" l="1"/>
  <c r="CR5" i="11"/>
  <c r="CR6" i="11" l="1"/>
  <c r="CS5" i="11"/>
  <c r="CS6" i="11" l="1"/>
  <c r="CT5" i="11"/>
  <c r="CT6" i="11" l="1"/>
  <c r="CU5" i="11"/>
  <c r="CV5" i="11" l="1"/>
  <c r="CU6" i="11"/>
  <c r="CV6" i="11" l="1"/>
  <c r="CW5" i="11"/>
  <c r="CX5" i="11" l="1"/>
  <c r="CW6" i="11"/>
  <c r="CW4" i="11"/>
  <c r="CX6" i="11" l="1"/>
  <c r="CY5" i="11"/>
  <c r="CY6" i="11" l="1"/>
  <c r="CZ5" i="11"/>
  <c r="CZ6" i="11" l="1"/>
  <c r="DA5" i="11"/>
  <c r="DA6" i="11" l="1"/>
  <c r="DB5" i="11"/>
  <c r="DB6" i="11" l="1"/>
  <c r="DC5" i="11"/>
  <c r="DC6" i="11" s="1"/>
</calcChain>
</file>

<file path=xl/sharedStrings.xml><?xml version="1.0" encoding="utf-8"?>
<sst xmlns="http://schemas.openxmlformats.org/spreadsheetml/2006/main" count="72" uniqueCount="57">
  <si>
    <t>Designing a Volunteer Management &amp; Engagement System for the KRAS Kickers</t>
  </si>
  <si>
    <t>Project start:</t>
  </si>
  <si>
    <t>Display week:</t>
  </si>
  <si>
    <t>TASK</t>
  </si>
  <si>
    <t>ASSIGNED TO</t>
  </si>
  <si>
    <t>RESPONSIBLE</t>
  </si>
  <si>
    <t>PROGRESS</t>
  </si>
  <si>
    <t>START</t>
  </si>
  <si>
    <t>END</t>
  </si>
  <si>
    <t xml:space="preserve">Do not delete this row. This row is hidden to preserve a formula that is used to highlight the current day within the project schedule. </t>
  </si>
  <si>
    <t>Phase 1: Project Planning &amp; Interview Preparation</t>
  </si>
  <si>
    <t xml:space="preserve">Planning Project </t>
  </si>
  <si>
    <t>Chris</t>
  </si>
  <si>
    <t>Identify Deliverables &amp; Delivery Dates</t>
  </si>
  <si>
    <t>Establish Meeting &amp; Review Cadance</t>
  </si>
  <si>
    <t>Agreee on Problem Definition</t>
  </si>
  <si>
    <t>Team</t>
  </si>
  <si>
    <t>Buildout of Project Plan</t>
  </si>
  <si>
    <t>Research/Understanding Preparation</t>
  </si>
  <si>
    <t>Schedule &amp; Interview with Founder to fully undersand Need</t>
  </si>
  <si>
    <t>Document Finding &amp; Determine next steps</t>
  </si>
  <si>
    <t>Phase 2: Conduct Interviews - Build Requirements</t>
  </si>
  <si>
    <t>Participant Recruitment / Interviews</t>
  </si>
  <si>
    <t>Identify ressources to be interviewed</t>
  </si>
  <si>
    <t>Schedule other identified interviews</t>
  </si>
  <si>
    <t>Build interview questionaaire</t>
  </si>
  <si>
    <t>Collate interview responses &amp; outcomes</t>
  </si>
  <si>
    <t>Phase 3: Analysis &amp; Design Solutioning</t>
  </si>
  <si>
    <t>Data Analysis</t>
  </si>
  <si>
    <t>Analyze interviw responses, build out need for wow factor</t>
  </si>
  <si>
    <t>Identify Improvements</t>
  </si>
  <si>
    <t>Identify &amp; Design proposed solutions</t>
  </si>
  <si>
    <t>Document complete solution</t>
  </si>
  <si>
    <t>Review potential solution with KRAS Leadership for buy-in</t>
  </si>
  <si>
    <t>Phase 4: Presentation Preparation</t>
  </si>
  <si>
    <t>Collect &amp; Collate infomation for Presentation</t>
  </si>
  <si>
    <t>Document &amp; Buildout Powerpoint presentation</t>
  </si>
  <si>
    <t>Phase 5: Deliverables</t>
  </si>
  <si>
    <t>Project Definition</t>
  </si>
  <si>
    <t>Information Gathering Plan</t>
  </si>
  <si>
    <t>Full Presentation</t>
  </si>
  <si>
    <t>Final Report</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</si>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</sst>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4">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0"/>
      <color theme="9"/>
      <name val="Arial Black"/>
      <family val="2"/>
      <scheme val="major"/>
    </font>
    <font>
      <b/>
      <sz val="16"/>
      <name val="Arial"/>
      <family val="2"/>
      <scheme val="minor"/>
    </font>
    <font>
      <sz val="10"/>
      <color rgb="FF000000"/>
      <name val="Arial"/>
      <scheme val="minor"/>
    </font>
    <font>
      <sz val="11"/>
      <color rgb="FF242424"/>
      <name val="Aptos Narrow"/>
      <charset val="1"/>
    </font>
  </fonts>
  <fills count="2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4" tint="0.59999389629810485"/>
        <bgColor indexed="64"/>
      </patternFill>
    </fill>
  </fills>
  <borders count="2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right/>
      <top style="thin">
        <color rgb="FF000000"/>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4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20" fillId="11" borderId="19" xfId="0" applyNumberFormat="1" applyFont="1" applyFill="1" applyBorder="1" applyAlignment="1">
      <alignment horizontal="center" vertical="center"/>
    </xf>
    <xf numFmtId="167" fontId="20" fillId="11" borderId="17" xfId="0" applyNumberFormat="1" applyFont="1" applyFill="1" applyBorder="1" applyAlignment="1">
      <alignment horizontal="center" vertical="center"/>
    </xf>
    <xf numFmtId="167" fontId="20" fillId="11" borderId="18" xfId="0" applyNumberFormat="1" applyFont="1" applyFill="1" applyBorder="1" applyAlignment="1">
      <alignment horizontal="center" vertical="center"/>
    </xf>
    <xf numFmtId="0" fontId="21" fillId="2" borderId="16" xfId="0" applyFont="1" applyFill="1" applyBorder="1" applyAlignment="1">
      <alignment horizontal="center" vertical="center" shrinkToFit="1"/>
    </xf>
    <xf numFmtId="0" fontId="21" fillId="2" borderId="13" xfId="0" applyFont="1" applyFill="1" applyBorder="1" applyAlignment="1">
      <alignment horizontal="center" vertical="center" shrinkToFit="1"/>
    </xf>
    <xf numFmtId="0" fontId="21" fillId="2" borderId="14"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8" fillId="3" borderId="6" xfId="11" applyFont="1" applyFill="1" applyBorder="1" applyAlignment="1">
      <alignment vertical="center"/>
    </xf>
    <xf numFmtId="164" fontId="18" fillId="3" borderId="6" xfId="10" applyFont="1" applyFill="1" applyBorder="1">
      <alignment horizontal="center" vertical="center"/>
    </xf>
    <xf numFmtId="0" fontId="4" fillId="0" borderId="4" xfId="0" applyFont="1" applyBorder="1" applyAlignment="1">
      <alignmen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5" xfId="11" applyFont="1" applyFill="1" applyBorder="1" applyAlignment="1">
      <alignment vertical="center"/>
    </xf>
    <xf numFmtId="164"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8" fillId="5" borderId="7" xfId="11" applyFont="1" applyFill="1" applyBorder="1" applyAlignment="1">
      <alignment vertical="center"/>
    </xf>
    <xf numFmtId="164" fontId="18" fillId="5" borderId="7" xfId="10" applyFont="1" applyFill="1" applyBorder="1">
      <alignment horizontal="center" vertical="center"/>
    </xf>
    <xf numFmtId="0" fontId="4" fillId="0" borderId="9" xfId="0" applyFont="1" applyBorder="1" applyAlignment="1">
      <alignment vertical="center"/>
    </xf>
    <xf numFmtId="0" fontId="18" fillId="9" borderId="8" xfId="11" applyFont="1" applyFill="1" applyBorder="1" applyAlignment="1">
      <alignment vertical="center"/>
    </xf>
    <xf numFmtId="164" fontId="18" fillId="9" borderId="8" xfId="10" applyFont="1" applyFill="1" applyBorder="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Border="1" applyAlignment="1">
      <alignment horizontal="center" vertical="center"/>
    </xf>
    <xf numFmtId="164" fontId="18" fillId="0" borderId="0" xfId="10" applyFont="1" applyBorder="1">
      <alignment horizontal="center" vertical="center"/>
    </xf>
    <xf numFmtId="0" fontId="23" fillId="2" borderId="0" xfId="0" applyFont="1" applyFill="1" applyAlignment="1">
      <alignment horizontal="left" vertical="center" indent="1"/>
    </xf>
    <xf numFmtId="0" fontId="23" fillId="2" borderId="0" xfId="0" applyFont="1" applyFill="1" applyAlignment="1">
      <alignment vertical="center"/>
    </xf>
    <xf numFmtId="9" fontId="1" fillId="2" borderId="0" xfId="2" applyFont="1" applyFill="1" applyBorder="1" applyAlignment="1">
      <alignment horizontal="center" vertical="center"/>
    </xf>
    <xf numFmtId="164" fontId="24"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5" fillId="0" borderId="0" xfId="6" applyFont="1" applyAlignment="1">
      <alignment horizontal="left" vertical="center" indent="1"/>
    </xf>
    <xf numFmtId="0" fontId="25"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5"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0" borderId="0" xfId="5" applyFont="1" applyAlignment="1">
      <alignment horizontal="left"/>
    </xf>
    <xf numFmtId="0" fontId="18" fillId="12" borderId="7" xfId="11" applyFont="1" applyFill="1" applyBorder="1" applyAlignment="1">
      <alignment vertical="center"/>
    </xf>
    <xf numFmtId="164" fontId="18" fillId="12" borderId="7" xfId="10" applyFont="1" applyFill="1" applyBorder="1">
      <alignment horizontal="center" vertical="center"/>
    </xf>
    <xf numFmtId="0" fontId="4" fillId="5" borderId="4" xfId="0" applyFont="1" applyFill="1" applyBorder="1" applyAlignment="1">
      <alignment vertical="center"/>
    </xf>
    <xf numFmtId="0" fontId="18" fillId="9" borderId="0" xfId="11" applyFont="1" applyFill="1" applyBorder="1" applyAlignment="1">
      <alignment vertical="center"/>
    </xf>
    <xf numFmtId="0" fontId="18" fillId="3" borderId="6" xfId="12" applyFont="1" applyFill="1" applyBorder="1" applyAlignment="1">
      <alignment horizontal="left" vertical="center" indent="3"/>
    </xf>
    <xf numFmtId="0" fontId="19" fillId="3" borderId="6" xfId="12" applyFont="1" applyFill="1" applyBorder="1">
      <alignment horizontal="left" vertical="center" indent="2"/>
    </xf>
    <xf numFmtId="0" fontId="4" fillId="14" borderId="11" xfId="0" applyFont="1" applyFill="1" applyBorder="1" applyAlignment="1">
      <alignment vertical="center"/>
    </xf>
    <xf numFmtId="0" fontId="18" fillId="4" borderId="5" xfId="12" applyFont="1" applyFill="1" applyBorder="1" applyAlignment="1">
      <alignment horizontal="left" vertical="center" indent="3"/>
    </xf>
    <xf numFmtId="0" fontId="19" fillId="4" borderId="5" xfId="12" applyFont="1" applyFill="1" applyBorder="1">
      <alignment horizontal="left" vertical="center" indent="2"/>
    </xf>
    <xf numFmtId="0" fontId="4" fillId="15" borderId="0" xfId="0" applyFont="1" applyFill="1" applyAlignment="1">
      <alignment vertical="center"/>
    </xf>
    <xf numFmtId="0" fontId="19" fillId="5" borderId="7" xfId="12" applyFont="1" applyFill="1" applyBorder="1" applyAlignment="1">
      <alignment horizontal="left" vertical="center" indent="3"/>
    </xf>
    <xf numFmtId="0" fontId="18" fillId="5" borderId="7" xfId="12" applyFont="1" applyFill="1" applyBorder="1" applyAlignment="1">
      <alignment horizontal="left" vertical="center" indent="4"/>
    </xf>
    <xf numFmtId="0" fontId="18" fillId="9" borderId="8" xfId="12" applyFont="1" applyFill="1" applyBorder="1" applyAlignment="1">
      <alignment horizontal="left" vertical="center" wrapText="1" indent="3"/>
    </xf>
    <xf numFmtId="0" fontId="18" fillId="9" borderId="0" xfId="12" applyFont="1" applyFill="1" applyBorder="1" applyAlignment="1">
      <alignment horizontal="left" vertical="center" indent="3"/>
    </xf>
    <xf numFmtId="0" fontId="4" fillId="16" borderId="10" xfId="0" applyFont="1" applyFill="1" applyBorder="1" applyAlignment="1">
      <alignment vertical="center"/>
    </xf>
    <xf numFmtId="0" fontId="22" fillId="13" borderId="0" xfId="12" applyFont="1" applyFill="1" applyBorder="1" applyAlignment="1">
      <alignment horizontal="left" vertical="center" indent="1"/>
    </xf>
    <xf numFmtId="0" fontId="18" fillId="13" borderId="0" xfId="11" applyFont="1" applyFill="1" applyBorder="1" applyAlignment="1">
      <alignment vertical="center"/>
    </xf>
    <xf numFmtId="9" fontId="1" fillId="13" borderId="0" xfId="2" applyFont="1" applyFill="1" applyBorder="1" applyAlignment="1">
      <alignment horizontal="center" vertical="center"/>
    </xf>
    <xf numFmtId="0" fontId="4" fillId="17" borderId="9" xfId="0" applyFont="1" applyFill="1" applyBorder="1" applyAlignment="1">
      <alignment vertical="center"/>
    </xf>
    <xf numFmtId="9" fontId="1" fillId="18" borderId="6" xfId="2" applyFont="1" applyFill="1" applyBorder="1" applyAlignment="1">
      <alignment horizontal="center" vertical="center"/>
    </xf>
    <xf numFmtId="9" fontId="1" fillId="0" borderId="5" xfId="2" applyFont="1" applyFill="1" applyBorder="1" applyAlignment="1">
      <alignment horizontal="center" vertical="center"/>
    </xf>
    <xf numFmtId="9" fontId="1" fillId="18" borderId="7" xfId="2" applyFont="1" applyFill="1" applyBorder="1" applyAlignment="1">
      <alignment horizontal="center" vertical="center"/>
    </xf>
    <xf numFmtId="9" fontId="1" fillId="18" borderId="8" xfId="2" applyFont="1" applyFill="1" applyBorder="1" applyAlignment="1">
      <alignment horizontal="center" vertical="center"/>
    </xf>
    <xf numFmtId="164" fontId="18" fillId="13" borderId="7" xfId="10" applyFont="1" applyFill="1" applyBorder="1">
      <alignment horizontal="center" vertical="center"/>
    </xf>
    <xf numFmtId="9" fontId="1" fillId="0" borderId="7" xfId="2" applyFont="1" applyFill="1" applyBorder="1" applyAlignment="1">
      <alignment horizontal="center"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20" borderId="9" xfId="0" applyFont="1" applyFill="1" applyBorder="1" applyAlignment="1">
      <alignment vertical="center"/>
    </xf>
    <xf numFmtId="0" fontId="32" fillId="12" borderId="7" xfId="12" applyFont="1" applyFill="1" applyBorder="1" applyAlignment="1">
      <alignment horizontal="left" vertical="center" indent="3"/>
    </xf>
    <xf numFmtId="0" fontId="18" fillId="12" borderId="7" xfId="12" applyFont="1" applyFill="1" applyBorder="1" applyAlignment="1">
      <alignment horizontal="left" vertical="center" indent="3"/>
    </xf>
    <xf numFmtId="167" fontId="20" fillId="11" borderId="19" xfId="0" applyNumberFormat="1" applyFont="1" applyFill="1" applyBorder="1" applyAlignment="1">
      <alignment horizontal="left" vertical="center" indent="1"/>
    </xf>
    <xf numFmtId="0" fontId="33" fillId="9" borderId="0" xfId="0" applyFont="1" applyFill="1" applyAlignment="1">
      <alignment horizontal="left" indent="3"/>
    </xf>
    <xf numFmtId="0" fontId="22" fillId="17" borderId="0" xfId="0" applyFont="1" applyFill="1" applyAlignment="1">
      <alignment horizontal="left" vertical="center" indent="1"/>
    </xf>
    <xf numFmtId="0" fontId="18" fillId="17" borderId="0" xfId="11" applyFont="1" applyFill="1" applyBorder="1" applyAlignment="1">
      <alignment vertical="center"/>
    </xf>
    <xf numFmtId="9" fontId="1" fillId="17" borderId="0" xfId="2" applyFont="1" applyFill="1" applyBorder="1" applyAlignment="1">
      <alignment horizontal="center" vertical="center"/>
    </xf>
    <xf numFmtId="164" fontId="18" fillId="17" borderId="0" xfId="0" applyNumberFormat="1" applyFont="1" applyFill="1" applyAlignment="1">
      <alignment horizontal="center" vertical="center"/>
    </xf>
    <xf numFmtId="164" fontId="18" fillId="17" borderId="0" xfId="10" applyFont="1" applyFill="1" applyBorder="1">
      <alignment horizontal="center" vertical="center"/>
    </xf>
    <xf numFmtId="0" fontId="4" fillId="19" borderId="4" xfId="0" applyFont="1" applyFill="1" applyBorder="1" applyAlignment="1">
      <alignment vertical="center"/>
    </xf>
    <xf numFmtId="0" fontId="13" fillId="0" borderId="0" xfId="3" applyAlignment="1">
      <alignment wrapText="1"/>
    </xf>
    <xf numFmtId="166" fontId="18" fillId="2" borderId="12" xfId="0" applyNumberFormat="1" applyFont="1" applyFill="1" applyBorder="1" applyAlignment="1">
      <alignment horizontal="center" vertical="center" wrapText="1"/>
    </xf>
    <xf numFmtId="166" fontId="18" fillId="2" borderId="18" xfId="0" applyNumberFormat="1" applyFont="1" applyFill="1" applyBorder="1" applyAlignment="1">
      <alignment horizontal="center" vertical="center" wrapText="1"/>
    </xf>
    <xf numFmtId="0" fontId="19" fillId="10" borderId="15" xfId="0" applyFont="1" applyFill="1" applyBorder="1" applyAlignment="1">
      <alignment horizontal="left" vertical="center" indent="1"/>
    </xf>
    <xf numFmtId="0" fontId="4" fillId="2" borderId="20" xfId="0" applyFont="1" applyFill="1" applyBorder="1" applyAlignment="1">
      <alignment horizontal="left" indent="1"/>
    </xf>
    <xf numFmtId="0" fontId="19" fillId="10" borderId="15" xfId="0" applyFont="1" applyFill="1" applyBorder="1" applyAlignment="1">
      <alignment vertical="center"/>
    </xf>
    <xf numFmtId="0" fontId="19" fillId="10" borderId="15" xfId="0" applyFont="1" applyFill="1" applyBorder="1" applyAlignment="1">
      <alignment horizontal="center" vertical="center"/>
    </xf>
    <xf numFmtId="0" fontId="26" fillId="0" borderId="0" xfId="0" applyFont="1" applyAlignment="1">
      <alignment horizontal="left"/>
    </xf>
    <xf numFmtId="165" fontId="26" fillId="0" borderId="0" xfId="9" applyFont="1" applyBorder="1" applyAlignment="1">
      <alignment horizontal="left"/>
    </xf>
    <xf numFmtId="0" fontId="31" fillId="0" borderId="0" xfId="8" applyFont="1" applyAlignment="1">
      <alignment horizontal="left"/>
    </xf>
    <xf numFmtId="166" fontId="18" fillId="2" borderId="17" xfId="0" applyNumberFormat="1" applyFont="1" applyFill="1" applyBorder="1" applyAlignment="1">
      <alignment horizontal="center" vertical="center" wrapText="1"/>
    </xf>
    <xf numFmtId="0" fontId="18" fillId="5" borderId="0" xfId="12" applyFont="1" applyFill="1" applyBorder="1" applyAlignment="1">
      <alignment horizontal="left" vertical="center" indent="4"/>
    </xf>
    <xf numFmtId="0" fontId="18" fillId="5" borderId="0" xfId="11" applyFont="1" applyFill="1" applyBorder="1" applyAlignment="1">
      <alignment vertical="center"/>
    </xf>
    <xf numFmtId="9" fontId="1" fillId="18" borderId="0" xfId="2" applyFont="1" applyFill="1" applyBorder="1" applyAlignment="1">
      <alignment horizontal="center" vertical="center"/>
    </xf>
    <xf numFmtId="0" fontId="4" fillId="0" borderId="0" xfId="0" applyFont="1" applyBorder="1" applyAlignment="1">
      <alignment vertical="center"/>
    </xf>
    <xf numFmtId="0" fontId="4" fillId="2" borderId="0" xfId="0" applyFont="1" applyFill="1" applyBorder="1"/>
    <xf numFmtId="164" fontId="18" fillId="13" borderId="0" xfId="10" applyFont="1" applyFill="1" applyBorder="1">
      <alignment horizontal="center" vertical="center"/>
    </xf>
    <xf numFmtId="0" fontId="19" fillId="10" borderId="25" xfId="0" applyFont="1" applyFill="1" applyBorder="1" applyAlignment="1">
      <alignment horizontal="center"/>
    </xf>
    <xf numFmtId="164" fontId="18" fillId="21" borderId="0" xfId="10" applyFont="1" applyFill="1" applyBorder="1">
      <alignment horizontal="center" vertical="center"/>
    </xf>
    <xf numFmtId="0" fontId="3" fillId="0" borderId="0" xfId="0" applyFont="1" applyAlignment="1"/>
    <xf numFmtId="0" fontId="27" fillId="0" borderId="0" xfId="0" applyFont="1" applyAlignment="1"/>
    <xf numFmtId="0" fontId="4" fillId="2" borderId="20"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3">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secondRowStripe" dxfId="16"/>
      <tableStyleElement type="firstColumnStripe" dxfId="15"/>
      <tableStyleElement type="secondColumnStrip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C44"/>
  <sheetViews>
    <sheetView showGridLines="0" tabSelected="1" showRuler="0" zoomScale="75" zoomScaleNormal="75" zoomScalePageLayoutView="70" workbookViewId="0">
      <pane xSplit="7" ySplit="5" topLeftCell="H19" activePane="bottomRight" state="frozen"/>
      <selection pane="bottomRight" activeCell="D39" sqref="D39"/>
      <selection pane="bottomLeft" activeCell="A6" sqref="A6"/>
      <selection pane="topRight" activeCell="G1" sqref="G1"/>
    </sheetView>
  </sheetViews>
  <sheetFormatPr defaultColWidth="8.75" defaultRowHeight="30" customHeight="1"/>
  <cols>
    <col min="1" max="1" width="2.75" style="13" customWidth="1"/>
    <col min="2" max="2" width="56.375" customWidth="1"/>
    <col min="3" max="3" width="9.75" hidden="1" customWidth="1"/>
    <col min="4" max="4" width="12.375" customWidth="1"/>
    <col min="5" max="5" width="12.75" customWidth="1"/>
    <col min="6" max="6" width="10.75" style="2" customWidth="1"/>
    <col min="7" max="7" width="10.75" customWidth="1"/>
    <col min="8" max="8" width="2.75" customWidth="1"/>
    <col min="9" max="9" width="6" hidden="1" customWidth="1"/>
    <col min="10" max="66" width="2.75" customWidth="1"/>
    <col min="67" max="71" width="2.875" bestFit="1" customWidth="1"/>
    <col min="72" max="72" width="3.25" bestFit="1" customWidth="1"/>
    <col min="73" max="73" width="2.875" bestFit="1" customWidth="1"/>
    <col min="74" max="82" width="3.25" bestFit="1" customWidth="1"/>
    <col min="83" max="86" width="2.375" bestFit="1" customWidth="1"/>
    <col min="87" max="89" width="3.25" bestFit="1" customWidth="1"/>
    <col min="90" max="93" width="2.375" bestFit="1" customWidth="1"/>
    <col min="94" max="96" width="3.25" bestFit="1" customWidth="1"/>
    <col min="97" max="100" width="2.375" bestFit="1" customWidth="1"/>
    <col min="101" max="107" width="2.25" bestFit="1" customWidth="1"/>
  </cols>
  <sheetData>
    <row r="1" spans="1:107" s="82" customFormat="1" ht="23.25" customHeight="1">
      <c r="B1" s="82" t="s">
        <v>0</v>
      </c>
    </row>
    <row r="2" spans="1:107" ht="21.6" customHeight="1">
      <c r="A2" s="14"/>
      <c r="B2" s="82"/>
      <c r="C2" s="18"/>
      <c r="D2" s="21"/>
      <c r="E2" s="19"/>
      <c r="F2" s="20"/>
      <c r="G2" s="21"/>
      <c r="I2" s="1"/>
      <c r="J2" s="132" t="s">
        <v>1</v>
      </c>
      <c r="K2" s="142"/>
      <c r="L2" s="142"/>
      <c r="M2" s="142"/>
      <c r="N2" s="142"/>
      <c r="O2" s="142"/>
      <c r="P2" s="142"/>
      <c r="Q2" s="24"/>
      <c r="R2" s="131">
        <v>45915</v>
      </c>
      <c r="S2" s="143"/>
      <c r="T2" s="143"/>
      <c r="U2" s="143"/>
      <c r="V2" s="143"/>
      <c r="W2" s="143"/>
      <c r="X2" s="143"/>
      <c r="Y2" s="143"/>
      <c r="Z2" s="143"/>
      <c r="AA2" s="143"/>
    </row>
    <row r="3" spans="1:107" ht="19.899999999999999" customHeight="1">
      <c r="B3" s="73"/>
      <c r="C3" s="74"/>
      <c r="D3" s="22"/>
      <c r="E3" s="22"/>
      <c r="F3" s="23"/>
      <c r="G3" s="22"/>
      <c r="J3" s="132" t="s">
        <v>2</v>
      </c>
      <c r="K3" s="142"/>
      <c r="L3" s="142"/>
      <c r="M3" s="142"/>
      <c r="N3" s="142"/>
      <c r="O3" s="142"/>
      <c r="P3" s="142"/>
      <c r="Q3" s="24"/>
      <c r="R3" s="130">
        <v>1</v>
      </c>
      <c r="S3" s="143"/>
      <c r="T3" s="143"/>
      <c r="U3" s="143"/>
      <c r="V3" s="143"/>
      <c r="W3" s="143"/>
      <c r="X3" s="143"/>
      <c r="Y3" s="143"/>
      <c r="Z3" s="143"/>
      <c r="AA3" s="143"/>
    </row>
    <row r="4" spans="1:107" s="25" customFormat="1" ht="30" customHeight="1">
      <c r="A4" s="14"/>
      <c r="B4" s="26"/>
      <c r="F4" s="27"/>
      <c r="J4" s="133">
        <f>9/15/25</f>
        <v>2.4E-2</v>
      </c>
      <c r="K4" s="124"/>
      <c r="L4" s="124"/>
      <c r="M4" s="124"/>
      <c r="N4" s="124"/>
      <c r="O4" s="124"/>
      <c r="P4" s="124"/>
      <c r="Q4" s="124">
        <f>Q5</f>
        <v>45922</v>
      </c>
      <c r="R4" s="124"/>
      <c r="S4" s="124"/>
      <c r="T4" s="124"/>
      <c r="U4" s="124"/>
      <c r="V4" s="124"/>
      <c r="W4" s="124"/>
      <c r="X4" s="124">
        <f>X5</f>
        <v>45929</v>
      </c>
      <c r="Y4" s="124"/>
      <c r="Z4" s="124"/>
      <c r="AA4" s="124"/>
      <c r="AB4" s="124"/>
      <c r="AC4" s="124"/>
      <c r="AD4" s="124"/>
      <c r="AE4" s="124">
        <f>AE5</f>
        <v>45936</v>
      </c>
      <c r="AF4" s="124"/>
      <c r="AG4" s="124"/>
      <c r="AH4" s="124"/>
      <c r="AI4" s="124"/>
      <c r="AJ4" s="124"/>
      <c r="AK4" s="124"/>
      <c r="AL4" s="124">
        <f>AL5</f>
        <v>45943</v>
      </c>
      <c r="AM4" s="124"/>
      <c r="AN4" s="124"/>
      <c r="AO4" s="124"/>
      <c r="AP4" s="124"/>
      <c r="AQ4" s="124"/>
      <c r="AR4" s="124"/>
      <c r="AS4" s="124">
        <f>AS5</f>
        <v>45950</v>
      </c>
      <c r="AT4" s="124"/>
      <c r="AU4" s="124"/>
      <c r="AV4" s="124"/>
      <c r="AW4" s="124"/>
      <c r="AX4" s="124"/>
      <c r="AY4" s="124"/>
      <c r="AZ4" s="124">
        <f>AZ5</f>
        <v>45957</v>
      </c>
      <c r="BA4" s="124"/>
      <c r="BB4" s="124"/>
      <c r="BC4" s="124"/>
      <c r="BD4" s="124"/>
      <c r="BE4" s="124"/>
      <c r="BF4" s="124"/>
      <c r="BG4" s="124">
        <f>BG5</f>
        <v>45964</v>
      </c>
      <c r="BH4" s="124"/>
      <c r="BI4" s="124"/>
      <c r="BJ4" s="124"/>
      <c r="BK4" s="124"/>
      <c r="BL4" s="124"/>
      <c r="BM4" s="125"/>
      <c r="BN4" s="124">
        <f>BN5</f>
        <v>45971</v>
      </c>
      <c r="BO4" s="124"/>
      <c r="BP4" s="124"/>
      <c r="BQ4" s="124"/>
      <c r="BR4" s="124"/>
      <c r="BS4" s="124"/>
      <c r="BT4" s="125"/>
      <c r="BU4" s="124">
        <f>BU5</f>
        <v>45978</v>
      </c>
      <c r="BV4" s="124"/>
      <c r="BW4" s="124"/>
      <c r="BX4" s="124"/>
      <c r="BY4" s="124"/>
      <c r="BZ4" s="124"/>
      <c r="CA4" s="125"/>
      <c r="CB4" s="124">
        <f>CB5</f>
        <v>45985</v>
      </c>
      <c r="CC4" s="124"/>
      <c r="CD4" s="124"/>
      <c r="CE4" s="124"/>
      <c r="CF4" s="124"/>
      <c r="CG4" s="124"/>
      <c r="CH4" s="125"/>
      <c r="CI4" s="124">
        <f>CI5</f>
        <v>45992</v>
      </c>
      <c r="CJ4" s="124"/>
      <c r="CK4" s="124"/>
      <c r="CL4" s="124"/>
      <c r="CM4" s="124"/>
      <c r="CN4" s="124"/>
      <c r="CO4" s="125"/>
      <c r="CP4" s="124">
        <f>CP5</f>
        <v>45999</v>
      </c>
      <c r="CQ4" s="124"/>
      <c r="CR4" s="124"/>
      <c r="CS4" s="124"/>
      <c r="CT4" s="124"/>
      <c r="CU4" s="124"/>
      <c r="CV4" s="125"/>
      <c r="CW4" s="124">
        <f>CW5</f>
        <v>46006</v>
      </c>
      <c r="CX4" s="124"/>
      <c r="CY4" s="124"/>
      <c r="CZ4" s="124"/>
      <c r="DA4" s="124"/>
      <c r="DB4" s="124"/>
      <c r="DC4" s="125"/>
    </row>
    <row r="5" spans="1:107" s="25" customFormat="1" ht="29.45" customHeight="1">
      <c r="A5" s="123"/>
      <c r="B5" s="126" t="s">
        <v>3</v>
      </c>
      <c r="C5" s="128" t="s">
        <v>4</v>
      </c>
      <c r="D5" s="140" t="s">
        <v>5</v>
      </c>
      <c r="E5" s="129" t="s">
        <v>6</v>
      </c>
      <c r="F5" s="129" t="s">
        <v>7</v>
      </c>
      <c r="G5" s="129" t="s">
        <v>8</v>
      </c>
      <c r="J5" s="28">
        <f>Project_Start-WEEKDAY(Project_Start,1)+2+7*(Display_Week-1)</f>
        <v>45915</v>
      </c>
      <c r="K5" s="28">
        <f>J5+1</f>
        <v>45916</v>
      </c>
      <c r="L5" s="28">
        <f t="shared" ref="L5:AY5" si="0">K5+1</f>
        <v>45917</v>
      </c>
      <c r="M5" s="115">
        <f t="shared" si="0"/>
        <v>45918</v>
      </c>
      <c r="N5" s="28">
        <f t="shared" si="0"/>
        <v>45919</v>
      </c>
      <c r="O5" s="28">
        <f t="shared" si="0"/>
        <v>45920</v>
      </c>
      <c r="P5" s="29">
        <f t="shared" si="0"/>
        <v>45921</v>
      </c>
      <c r="Q5" s="30">
        <f>P5+1</f>
        <v>45922</v>
      </c>
      <c r="R5" s="28">
        <f>Q5+1</f>
        <v>45923</v>
      </c>
      <c r="S5" s="28">
        <f t="shared" si="0"/>
        <v>45924</v>
      </c>
      <c r="T5" s="28">
        <f t="shared" si="0"/>
        <v>45925</v>
      </c>
      <c r="U5" s="28">
        <f t="shared" si="0"/>
        <v>45926</v>
      </c>
      <c r="V5" s="28">
        <f t="shared" si="0"/>
        <v>45927</v>
      </c>
      <c r="W5" s="29">
        <f t="shared" si="0"/>
        <v>45928</v>
      </c>
      <c r="X5" s="30">
        <f>W5+1</f>
        <v>45929</v>
      </c>
      <c r="Y5" s="28">
        <f>X5+1</f>
        <v>45930</v>
      </c>
      <c r="Z5" s="28">
        <f t="shared" si="0"/>
        <v>45931</v>
      </c>
      <c r="AA5" s="28">
        <f t="shared" si="0"/>
        <v>45932</v>
      </c>
      <c r="AB5" s="28">
        <f t="shared" si="0"/>
        <v>45933</v>
      </c>
      <c r="AC5" s="28">
        <f t="shared" si="0"/>
        <v>45934</v>
      </c>
      <c r="AD5" s="29">
        <f t="shared" si="0"/>
        <v>45935</v>
      </c>
      <c r="AE5" s="30">
        <f>AD5+1</f>
        <v>45936</v>
      </c>
      <c r="AF5" s="28">
        <f>AE5+1</f>
        <v>45937</v>
      </c>
      <c r="AG5" s="28">
        <f t="shared" si="0"/>
        <v>45938</v>
      </c>
      <c r="AH5" s="28">
        <f t="shared" si="0"/>
        <v>45939</v>
      </c>
      <c r="AI5" s="28">
        <f t="shared" si="0"/>
        <v>45940</v>
      </c>
      <c r="AJ5" s="28">
        <f t="shared" si="0"/>
        <v>45941</v>
      </c>
      <c r="AK5" s="29">
        <f t="shared" si="0"/>
        <v>45942</v>
      </c>
      <c r="AL5" s="30">
        <f>AK5+1</f>
        <v>45943</v>
      </c>
      <c r="AM5" s="28">
        <f>AL5+1</f>
        <v>45944</v>
      </c>
      <c r="AN5" s="28">
        <f t="shared" si="0"/>
        <v>45945</v>
      </c>
      <c r="AO5" s="28">
        <f t="shared" si="0"/>
        <v>45946</v>
      </c>
      <c r="AP5" s="28">
        <f t="shared" si="0"/>
        <v>45947</v>
      </c>
      <c r="AQ5" s="28">
        <f t="shared" si="0"/>
        <v>45948</v>
      </c>
      <c r="AR5" s="29">
        <f t="shared" si="0"/>
        <v>45949</v>
      </c>
      <c r="AS5" s="30">
        <f>AR5+1</f>
        <v>45950</v>
      </c>
      <c r="AT5" s="28">
        <f>AS5+1</f>
        <v>45951</v>
      </c>
      <c r="AU5" s="28">
        <f t="shared" si="0"/>
        <v>45952</v>
      </c>
      <c r="AV5" s="28">
        <f t="shared" si="0"/>
        <v>45953</v>
      </c>
      <c r="AW5" s="28">
        <f t="shared" si="0"/>
        <v>45954</v>
      </c>
      <c r="AX5" s="28">
        <f t="shared" si="0"/>
        <v>45955</v>
      </c>
      <c r="AY5" s="29">
        <f t="shared" si="0"/>
        <v>45956</v>
      </c>
      <c r="AZ5" s="30">
        <f>AY5+1</f>
        <v>45957</v>
      </c>
      <c r="BA5" s="28">
        <f>AZ5+1</f>
        <v>45958</v>
      </c>
      <c r="BB5" s="28">
        <f t="shared" ref="BB5:BF5" si="1">BA5+1</f>
        <v>45959</v>
      </c>
      <c r="BC5" s="28">
        <f t="shared" si="1"/>
        <v>45960</v>
      </c>
      <c r="BD5" s="28">
        <f t="shared" si="1"/>
        <v>45961</v>
      </c>
      <c r="BE5" s="28">
        <f t="shared" si="1"/>
        <v>45962</v>
      </c>
      <c r="BF5" s="29">
        <f t="shared" si="1"/>
        <v>45963</v>
      </c>
      <c r="BG5" s="30">
        <f>BF5+1</f>
        <v>45964</v>
      </c>
      <c r="BH5" s="28">
        <f>BG5+1</f>
        <v>45965</v>
      </c>
      <c r="BI5" s="28">
        <f t="shared" ref="BI5:BM5" si="2">BH5+1</f>
        <v>45966</v>
      </c>
      <c r="BJ5" s="28">
        <f t="shared" si="2"/>
        <v>45967</v>
      </c>
      <c r="BK5" s="28">
        <f t="shared" si="2"/>
        <v>45968</v>
      </c>
      <c r="BL5" s="28">
        <f t="shared" si="2"/>
        <v>45969</v>
      </c>
      <c r="BM5" s="28">
        <f t="shared" si="2"/>
        <v>45970</v>
      </c>
      <c r="BN5" s="30">
        <f>BM5+1</f>
        <v>45971</v>
      </c>
      <c r="BO5" s="28">
        <f>BN5+1</f>
        <v>45972</v>
      </c>
      <c r="BP5" s="28">
        <f t="shared" ref="BP5" si="3">BO5+1</f>
        <v>45973</v>
      </c>
      <c r="BQ5" s="28">
        <f t="shared" ref="BQ5" si="4">BP5+1</f>
        <v>45974</v>
      </c>
      <c r="BR5" s="28">
        <f t="shared" ref="BR5" si="5">BQ5+1</f>
        <v>45975</v>
      </c>
      <c r="BS5" s="28">
        <f t="shared" ref="BS5" si="6">BR5+1</f>
        <v>45976</v>
      </c>
      <c r="BT5" s="28">
        <f t="shared" ref="BT5" si="7">BS5+1</f>
        <v>45977</v>
      </c>
      <c r="BU5" s="30">
        <f>BT5+1</f>
        <v>45978</v>
      </c>
      <c r="BV5" s="28">
        <f>BU5+1</f>
        <v>45979</v>
      </c>
      <c r="BW5" s="28">
        <f t="shared" ref="BW5" si="8">BV5+1</f>
        <v>45980</v>
      </c>
      <c r="BX5" s="28">
        <f t="shared" ref="BX5" si="9">BW5+1</f>
        <v>45981</v>
      </c>
      <c r="BY5" s="28">
        <f t="shared" ref="BY5" si="10">BX5+1</f>
        <v>45982</v>
      </c>
      <c r="BZ5" s="28">
        <f t="shared" ref="BZ5" si="11">BY5+1</f>
        <v>45983</v>
      </c>
      <c r="CA5" s="28">
        <f t="shared" ref="CA5" si="12">BZ5+1</f>
        <v>45984</v>
      </c>
      <c r="CB5" s="30">
        <f>CA5+1</f>
        <v>45985</v>
      </c>
      <c r="CC5" s="28">
        <f>CB5+1</f>
        <v>45986</v>
      </c>
      <c r="CD5" s="28">
        <f t="shared" ref="CD5" si="13">CC5+1</f>
        <v>45987</v>
      </c>
      <c r="CE5" s="28">
        <f t="shared" ref="CE5" si="14">CD5+1</f>
        <v>45988</v>
      </c>
      <c r="CF5" s="28">
        <f t="shared" ref="CF5" si="15">CE5+1</f>
        <v>45989</v>
      </c>
      <c r="CG5" s="28">
        <f t="shared" ref="CG5" si="16">CF5+1</f>
        <v>45990</v>
      </c>
      <c r="CH5" s="28">
        <f t="shared" ref="CH5" si="17">CG5+1</f>
        <v>45991</v>
      </c>
      <c r="CI5" s="30">
        <f>CH5+1</f>
        <v>45992</v>
      </c>
      <c r="CJ5" s="28">
        <f>CI5+1</f>
        <v>45993</v>
      </c>
      <c r="CK5" s="28">
        <f t="shared" ref="CK5" si="18">CJ5+1</f>
        <v>45994</v>
      </c>
      <c r="CL5" s="28">
        <f t="shared" ref="CL5" si="19">CK5+1</f>
        <v>45995</v>
      </c>
      <c r="CM5" s="28">
        <f t="shared" ref="CM5" si="20">CL5+1</f>
        <v>45996</v>
      </c>
      <c r="CN5" s="28">
        <f t="shared" ref="CN5" si="21">CM5+1</f>
        <v>45997</v>
      </c>
      <c r="CO5" s="28">
        <f t="shared" ref="CO5" si="22">CN5+1</f>
        <v>45998</v>
      </c>
      <c r="CP5" s="30">
        <f>CO5+1</f>
        <v>45999</v>
      </c>
      <c r="CQ5" s="28">
        <f>CP5+1</f>
        <v>46000</v>
      </c>
      <c r="CR5" s="28">
        <f t="shared" ref="CR5" si="23">CQ5+1</f>
        <v>46001</v>
      </c>
      <c r="CS5" s="28">
        <f t="shared" ref="CS5" si="24">CR5+1</f>
        <v>46002</v>
      </c>
      <c r="CT5" s="28">
        <f t="shared" ref="CT5" si="25">CS5+1</f>
        <v>46003</v>
      </c>
      <c r="CU5" s="28">
        <f t="shared" ref="CU5" si="26">CT5+1</f>
        <v>46004</v>
      </c>
      <c r="CV5" s="28">
        <f t="shared" ref="CV5" si="27">CU5+1</f>
        <v>46005</v>
      </c>
      <c r="CW5" s="30">
        <f>CV5+1</f>
        <v>46006</v>
      </c>
      <c r="CX5" s="28">
        <f>CW5+1</f>
        <v>46007</v>
      </c>
      <c r="CY5" s="28">
        <f t="shared" ref="CY5" si="28">CX5+1</f>
        <v>46008</v>
      </c>
      <c r="CZ5" s="28">
        <f t="shared" ref="CZ5" si="29">CY5+1</f>
        <v>46009</v>
      </c>
      <c r="DA5" s="28">
        <f t="shared" ref="DA5" si="30">CZ5+1</f>
        <v>46010</v>
      </c>
      <c r="DB5" s="28">
        <f t="shared" ref="DB5" si="31">DA5+1</f>
        <v>46011</v>
      </c>
      <c r="DC5" s="28">
        <f t="shared" ref="DC5" si="32">DB5+1</f>
        <v>46012</v>
      </c>
    </row>
    <row r="6" spans="1:107" s="25" customFormat="1" ht="15" customHeight="1">
      <c r="A6" s="123"/>
      <c r="B6" s="127"/>
      <c r="C6" s="144"/>
      <c r="D6" s="138"/>
      <c r="E6" s="144"/>
      <c r="F6" s="144"/>
      <c r="G6" s="144"/>
      <c r="J6" s="31" t="str">
        <f t="shared" ref="J6:AO6" si="33">LEFT(TEXT(J5,"ddd"),1)</f>
        <v>M</v>
      </c>
      <c r="K6" s="32" t="str">
        <f t="shared" si="33"/>
        <v>T</v>
      </c>
      <c r="L6" s="32" t="str">
        <f t="shared" si="33"/>
        <v>W</v>
      </c>
      <c r="M6" s="32" t="str">
        <f t="shared" si="33"/>
        <v>T</v>
      </c>
      <c r="N6" s="32" t="str">
        <f t="shared" si="33"/>
        <v>F</v>
      </c>
      <c r="O6" s="32" t="str">
        <f t="shared" si="33"/>
        <v>S</v>
      </c>
      <c r="P6" s="32" t="str">
        <f t="shared" si="33"/>
        <v>S</v>
      </c>
      <c r="Q6" s="32" t="str">
        <f t="shared" si="33"/>
        <v>M</v>
      </c>
      <c r="R6" s="32" t="str">
        <f t="shared" si="33"/>
        <v>T</v>
      </c>
      <c r="S6" s="32" t="str">
        <f t="shared" si="33"/>
        <v>W</v>
      </c>
      <c r="T6" s="32" t="str">
        <f t="shared" si="33"/>
        <v>T</v>
      </c>
      <c r="U6" s="32" t="str">
        <f t="shared" si="33"/>
        <v>F</v>
      </c>
      <c r="V6" s="32" t="str">
        <f t="shared" si="33"/>
        <v>S</v>
      </c>
      <c r="W6" s="32" t="str">
        <f t="shared" si="33"/>
        <v>S</v>
      </c>
      <c r="X6" s="32" t="str">
        <f t="shared" si="33"/>
        <v>M</v>
      </c>
      <c r="Y6" s="32" t="str">
        <f t="shared" si="33"/>
        <v>T</v>
      </c>
      <c r="Z6" s="32" t="str">
        <f t="shared" si="33"/>
        <v>W</v>
      </c>
      <c r="AA6" s="32" t="str">
        <f t="shared" si="33"/>
        <v>T</v>
      </c>
      <c r="AB6" s="32" t="str">
        <f t="shared" si="33"/>
        <v>F</v>
      </c>
      <c r="AC6" s="32" t="str">
        <f t="shared" si="33"/>
        <v>S</v>
      </c>
      <c r="AD6" s="32" t="str">
        <f t="shared" si="33"/>
        <v>S</v>
      </c>
      <c r="AE6" s="32" t="str">
        <f t="shared" si="33"/>
        <v>M</v>
      </c>
      <c r="AF6" s="32" t="str">
        <f t="shared" si="33"/>
        <v>T</v>
      </c>
      <c r="AG6" s="32" t="str">
        <f t="shared" si="33"/>
        <v>W</v>
      </c>
      <c r="AH6" s="32" t="str">
        <f t="shared" si="33"/>
        <v>T</v>
      </c>
      <c r="AI6" s="32" t="str">
        <f t="shared" si="33"/>
        <v>F</v>
      </c>
      <c r="AJ6" s="32" t="str">
        <f t="shared" si="33"/>
        <v>S</v>
      </c>
      <c r="AK6" s="32" t="str">
        <f t="shared" si="33"/>
        <v>S</v>
      </c>
      <c r="AL6" s="32" t="str">
        <f t="shared" si="33"/>
        <v>M</v>
      </c>
      <c r="AM6" s="32" t="str">
        <f t="shared" si="33"/>
        <v>T</v>
      </c>
      <c r="AN6" s="32" t="str">
        <f t="shared" si="33"/>
        <v>W</v>
      </c>
      <c r="AO6" s="32" t="str">
        <f t="shared" si="33"/>
        <v>T</v>
      </c>
      <c r="AP6" s="32" t="str">
        <f t="shared" ref="AP6:BM6" si="34">LEFT(TEXT(AP5,"ddd"),1)</f>
        <v>F</v>
      </c>
      <c r="AQ6" s="32" t="str">
        <f t="shared" si="34"/>
        <v>S</v>
      </c>
      <c r="AR6" s="32" t="str">
        <f t="shared" si="34"/>
        <v>S</v>
      </c>
      <c r="AS6" s="32" t="str">
        <f t="shared" si="34"/>
        <v>M</v>
      </c>
      <c r="AT6" s="32" t="str">
        <f t="shared" si="34"/>
        <v>T</v>
      </c>
      <c r="AU6" s="32" t="str">
        <f t="shared" si="34"/>
        <v>W</v>
      </c>
      <c r="AV6" s="32" t="str">
        <f t="shared" si="34"/>
        <v>T</v>
      </c>
      <c r="AW6" s="32" t="str">
        <f t="shared" si="34"/>
        <v>F</v>
      </c>
      <c r="AX6" s="32" t="str">
        <f t="shared" si="34"/>
        <v>S</v>
      </c>
      <c r="AY6" s="32" t="str">
        <f t="shared" si="34"/>
        <v>S</v>
      </c>
      <c r="AZ6" s="32" t="str">
        <f t="shared" si="34"/>
        <v>M</v>
      </c>
      <c r="BA6" s="32" t="str">
        <f t="shared" si="34"/>
        <v>T</v>
      </c>
      <c r="BB6" s="32" t="str">
        <f t="shared" si="34"/>
        <v>W</v>
      </c>
      <c r="BC6" s="32" t="str">
        <f t="shared" si="34"/>
        <v>T</v>
      </c>
      <c r="BD6" s="32" t="str">
        <f t="shared" si="34"/>
        <v>F</v>
      </c>
      <c r="BE6" s="32" t="str">
        <f t="shared" si="34"/>
        <v>S</v>
      </c>
      <c r="BF6" s="32" t="str">
        <f t="shared" si="34"/>
        <v>S</v>
      </c>
      <c r="BG6" s="32" t="str">
        <f t="shared" si="34"/>
        <v>M</v>
      </c>
      <c r="BH6" s="32" t="str">
        <f t="shared" si="34"/>
        <v>T</v>
      </c>
      <c r="BI6" s="32" t="str">
        <f t="shared" si="34"/>
        <v>W</v>
      </c>
      <c r="BJ6" s="32" t="str">
        <f t="shared" si="34"/>
        <v>T</v>
      </c>
      <c r="BK6" s="32" t="str">
        <f t="shared" si="34"/>
        <v>F</v>
      </c>
      <c r="BL6" s="32" t="str">
        <f t="shared" si="34"/>
        <v>S</v>
      </c>
      <c r="BM6" s="33" t="str">
        <f t="shared" si="34"/>
        <v>S</v>
      </c>
      <c r="BN6" s="32" t="str">
        <f t="shared" ref="BN6:CH6" si="35">LEFT(TEXT(BN5,"ddd"),1)</f>
        <v>M</v>
      </c>
      <c r="BO6" s="32" t="str">
        <f t="shared" si="35"/>
        <v>T</v>
      </c>
      <c r="BP6" s="32" t="str">
        <f t="shared" si="35"/>
        <v>W</v>
      </c>
      <c r="BQ6" s="32" t="str">
        <f t="shared" si="35"/>
        <v>T</v>
      </c>
      <c r="BR6" s="32" t="str">
        <f t="shared" si="35"/>
        <v>F</v>
      </c>
      <c r="BS6" s="32" t="str">
        <f t="shared" si="35"/>
        <v>S</v>
      </c>
      <c r="BT6" s="33" t="str">
        <f t="shared" si="35"/>
        <v>S</v>
      </c>
      <c r="BU6" s="32" t="str">
        <f t="shared" si="35"/>
        <v>M</v>
      </c>
      <c r="BV6" s="32" t="str">
        <f t="shared" si="35"/>
        <v>T</v>
      </c>
      <c r="BW6" s="32" t="str">
        <f t="shared" si="35"/>
        <v>W</v>
      </c>
      <c r="BX6" s="32" t="str">
        <f t="shared" si="35"/>
        <v>T</v>
      </c>
      <c r="BY6" s="32" t="str">
        <f t="shared" si="35"/>
        <v>F</v>
      </c>
      <c r="BZ6" s="32" t="str">
        <f t="shared" si="35"/>
        <v>S</v>
      </c>
      <c r="CA6" s="33" t="str">
        <f t="shared" si="35"/>
        <v>S</v>
      </c>
      <c r="CB6" s="32" t="str">
        <f t="shared" si="35"/>
        <v>M</v>
      </c>
      <c r="CC6" s="32" t="str">
        <f t="shared" si="35"/>
        <v>T</v>
      </c>
      <c r="CD6" s="32" t="str">
        <f t="shared" si="35"/>
        <v>W</v>
      </c>
      <c r="CE6" s="32" t="str">
        <f t="shared" si="35"/>
        <v>T</v>
      </c>
      <c r="CF6" s="32" t="str">
        <f t="shared" si="35"/>
        <v>F</v>
      </c>
      <c r="CG6" s="32" t="str">
        <f t="shared" si="35"/>
        <v>S</v>
      </c>
      <c r="CH6" s="33" t="str">
        <f t="shared" si="35"/>
        <v>S</v>
      </c>
      <c r="CI6" s="32" t="str">
        <f t="shared" ref="CI6:CV6" si="36">LEFT(TEXT(CI5,"ddd"),1)</f>
        <v>M</v>
      </c>
      <c r="CJ6" s="32" t="str">
        <f t="shared" si="36"/>
        <v>T</v>
      </c>
      <c r="CK6" s="32" t="str">
        <f t="shared" si="36"/>
        <v>W</v>
      </c>
      <c r="CL6" s="32" t="str">
        <f t="shared" si="36"/>
        <v>T</v>
      </c>
      <c r="CM6" s="32" t="str">
        <f t="shared" si="36"/>
        <v>F</v>
      </c>
      <c r="CN6" s="32" t="str">
        <f t="shared" si="36"/>
        <v>S</v>
      </c>
      <c r="CO6" s="33" t="str">
        <f t="shared" si="36"/>
        <v>S</v>
      </c>
      <c r="CP6" s="32" t="str">
        <f t="shared" si="36"/>
        <v>M</v>
      </c>
      <c r="CQ6" s="32" t="str">
        <f t="shared" si="36"/>
        <v>T</v>
      </c>
      <c r="CR6" s="32" t="str">
        <f t="shared" si="36"/>
        <v>W</v>
      </c>
      <c r="CS6" s="32" t="str">
        <f t="shared" si="36"/>
        <v>T</v>
      </c>
      <c r="CT6" s="32" t="str">
        <f t="shared" si="36"/>
        <v>F</v>
      </c>
      <c r="CU6" s="32" t="str">
        <f t="shared" si="36"/>
        <v>S</v>
      </c>
      <c r="CV6" s="33" t="str">
        <f t="shared" si="36"/>
        <v>S</v>
      </c>
      <c r="CW6" s="32" t="str">
        <f t="shared" ref="CW6:DC6" si="37">LEFT(TEXT(CW5,"ddd"),1)</f>
        <v>M</v>
      </c>
      <c r="CX6" s="32" t="str">
        <f t="shared" si="37"/>
        <v>T</v>
      </c>
      <c r="CY6" s="32" t="str">
        <f t="shared" si="37"/>
        <v>W</v>
      </c>
      <c r="CZ6" s="32" t="str">
        <f t="shared" si="37"/>
        <v>T</v>
      </c>
      <c r="DA6" s="32" t="str">
        <f t="shared" si="37"/>
        <v>F</v>
      </c>
      <c r="DB6" s="32" t="str">
        <f t="shared" si="37"/>
        <v>S</v>
      </c>
      <c r="DC6" s="33" t="str">
        <f t="shared" si="37"/>
        <v>S</v>
      </c>
    </row>
    <row r="7" spans="1:107" s="25" customFormat="1" ht="30" hidden="1" customHeight="1">
      <c r="A7" s="13" t="s">
        <v>9</v>
      </c>
      <c r="B7" s="34"/>
      <c r="C7" s="35"/>
      <c r="D7" s="34"/>
      <c r="E7" s="34"/>
      <c r="F7" s="34"/>
      <c r="G7" s="34"/>
      <c r="I7" s="25" t="str">
        <f ca="1">IF(OR(ISBLANK(task_start),ISBLANK(task_end)),"",task_end-task_start+1)</f>
        <v/>
      </c>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row>
    <row r="8" spans="1:107" s="41" customFormat="1" ht="20.65" customHeight="1">
      <c r="A8" s="14"/>
      <c r="B8" s="37" t="s">
        <v>10</v>
      </c>
      <c r="C8" s="38"/>
      <c r="D8" s="141"/>
      <c r="E8" s="39"/>
      <c r="F8" s="43">
        <f t="shared" ref="F8:F13" si="38">Project_Start</f>
        <v>45915</v>
      </c>
      <c r="G8" s="43">
        <v>45837</v>
      </c>
      <c r="H8" s="17"/>
      <c r="I8" s="5">
        <f t="shared" ref="I8:I41" ca="1" si="39">IF(OR(ISBLANK(task_start),ISBLANK(task_end)),"",task_end-task_start+1)</f>
        <v>-77</v>
      </c>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row>
    <row r="9" spans="1:107" s="41" customFormat="1" ht="14.25">
      <c r="A9" s="14"/>
      <c r="B9" s="88" t="s">
        <v>11</v>
      </c>
      <c r="C9" s="42" t="s">
        <v>12</v>
      </c>
      <c r="D9" s="102" t="s">
        <v>12</v>
      </c>
      <c r="E9" s="102">
        <v>0.5</v>
      </c>
      <c r="F9" s="43">
        <f t="shared" si="38"/>
        <v>45915</v>
      </c>
      <c r="G9" s="43">
        <v>45799</v>
      </c>
      <c r="H9" s="17"/>
      <c r="I9" s="5">
        <f t="shared" ca="1" si="39"/>
        <v>-115</v>
      </c>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row>
    <row r="10" spans="1:107" s="41" customFormat="1" ht="20.65" customHeight="1">
      <c r="A10" s="14"/>
      <c r="B10" s="87" t="s">
        <v>13</v>
      </c>
      <c r="C10" s="42"/>
      <c r="D10" s="102" t="s">
        <v>12</v>
      </c>
      <c r="E10" s="102">
        <v>0.5</v>
      </c>
      <c r="F10" s="43">
        <f t="shared" si="38"/>
        <v>45915</v>
      </c>
      <c r="G10" s="43">
        <f>F10+3</f>
        <v>45918</v>
      </c>
      <c r="H10" s="17"/>
      <c r="I10" s="5"/>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row>
    <row r="11" spans="1:107" s="41" customFormat="1" ht="14.25">
      <c r="A11" s="14"/>
      <c r="B11" s="87" t="s">
        <v>14</v>
      </c>
      <c r="C11" s="42"/>
      <c r="D11" s="102" t="s">
        <v>12</v>
      </c>
      <c r="E11" s="102">
        <v>1</v>
      </c>
      <c r="F11" s="43">
        <f t="shared" si="38"/>
        <v>45915</v>
      </c>
      <c r="G11" s="43">
        <f>F11+3</f>
        <v>45918</v>
      </c>
      <c r="H11" s="17"/>
      <c r="I11" s="5"/>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row>
    <row r="12" spans="1:107" s="41" customFormat="1" ht="14.25">
      <c r="A12" s="14"/>
      <c r="B12" s="87" t="s">
        <v>15</v>
      </c>
      <c r="C12" s="42"/>
      <c r="D12" s="102" t="s">
        <v>16</v>
      </c>
      <c r="E12" s="102">
        <v>0.75</v>
      </c>
      <c r="F12" s="43">
        <f t="shared" si="38"/>
        <v>45915</v>
      </c>
      <c r="G12" s="43">
        <f>F12+3</f>
        <v>45918</v>
      </c>
      <c r="H12" s="17"/>
      <c r="I12" s="5"/>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row>
    <row r="13" spans="1:107" s="41" customFormat="1" ht="18.75" customHeight="1">
      <c r="A13" s="14"/>
      <c r="B13" s="87" t="s">
        <v>17</v>
      </c>
      <c r="C13" s="42"/>
      <c r="D13" s="102" t="s">
        <v>12</v>
      </c>
      <c r="E13" s="102">
        <v>0.5</v>
      </c>
      <c r="F13" s="43">
        <f t="shared" si="38"/>
        <v>45915</v>
      </c>
      <c r="G13" s="43">
        <f>F13+3</f>
        <v>45918</v>
      </c>
      <c r="H13" s="17"/>
      <c r="I13" s="5"/>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row>
    <row r="14" spans="1:107" s="41" customFormat="1" ht="18.75" customHeight="1">
      <c r="A14" s="14"/>
      <c r="B14" s="88" t="s">
        <v>18</v>
      </c>
      <c r="C14" s="42"/>
      <c r="D14" s="102" t="s">
        <v>12</v>
      </c>
      <c r="E14" s="102">
        <v>0.3</v>
      </c>
      <c r="F14" s="43">
        <v>45915</v>
      </c>
      <c r="G14" s="43">
        <v>45926</v>
      </c>
      <c r="H14" s="17"/>
      <c r="I14" s="5"/>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row>
    <row r="15" spans="1:107" s="41" customFormat="1" ht="18.75" customHeight="1">
      <c r="A15" s="14"/>
      <c r="B15" s="87" t="s">
        <v>19</v>
      </c>
      <c r="C15" s="42"/>
      <c r="D15" s="102" t="s">
        <v>12</v>
      </c>
      <c r="E15" s="102">
        <v>0.5</v>
      </c>
      <c r="F15" s="43">
        <v>45915</v>
      </c>
      <c r="G15" s="43">
        <v>45923</v>
      </c>
      <c r="H15" s="17"/>
      <c r="I15" s="5"/>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row>
    <row r="16" spans="1:107" s="41" customFormat="1" ht="18.75" customHeight="1">
      <c r="A16" s="14"/>
      <c r="B16" s="87" t="s">
        <v>20</v>
      </c>
      <c r="C16" s="42"/>
      <c r="D16" s="102" t="s">
        <v>16</v>
      </c>
      <c r="E16" s="102">
        <v>0.1</v>
      </c>
      <c r="F16" s="43">
        <v>45915</v>
      </c>
      <c r="G16" s="43">
        <v>45926</v>
      </c>
      <c r="H16" s="17"/>
      <c r="I16" s="5"/>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row>
    <row r="17" spans="1:100" s="41" customFormat="1" ht="18.75" customHeight="1">
      <c r="A17" s="14"/>
      <c r="B17" s="45" t="s">
        <v>21</v>
      </c>
      <c r="C17" s="46"/>
      <c r="D17" s="49"/>
      <c r="E17" s="47"/>
      <c r="F17" s="48"/>
      <c r="G17" s="49"/>
      <c r="H17" s="17"/>
      <c r="I17" s="5" t="str">
        <f t="shared" ca="1" si="39"/>
        <v/>
      </c>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row>
    <row r="18" spans="1:100" s="41" customFormat="1" ht="17.649999999999999" customHeight="1">
      <c r="A18" s="14"/>
      <c r="B18" s="91" t="s">
        <v>22</v>
      </c>
      <c r="C18" s="50" t="s">
        <v>16</v>
      </c>
      <c r="D18" s="103"/>
      <c r="E18" s="103">
        <v>0</v>
      </c>
      <c r="F18" s="51"/>
      <c r="G18" s="51"/>
      <c r="H18" s="17"/>
      <c r="I18" s="5" t="str">
        <f t="shared" ca="1" si="39"/>
        <v/>
      </c>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row>
    <row r="19" spans="1:100" s="41" customFormat="1" ht="17.649999999999999" customHeight="1">
      <c r="A19" s="14"/>
      <c r="B19" s="90" t="s">
        <v>23</v>
      </c>
      <c r="C19" s="50"/>
      <c r="D19" s="103"/>
      <c r="E19" s="103">
        <v>0</v>
      </c>
      <c r="F19" s="51"/>
      <c r="G19" s="51"/>
      <c r="H19" s="17"/>
      <c r="I19" s="5"/>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row>
    <row r="20" spans="1:100" s="41" customFormat="1" ht="15" customHeight="1">
      <c r="A20" s="14"/>
      <c r="B20" s="90" t="s">
        <v>24</v>
      </c>
      <c r="C20" s="50"/>
      <c r="D20" s="103"/>
      <c r="E20" s="103">
        <v>0</v>
      </c>
      <c r="F20" s="51"/>
      <c r="G20" s="51"/>
      <c r="H20" s="17"/>
      <c r="I20" s="5"/>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row>
    <row r="21" spans="1:100" s="41" customFormat="1" ht="17.649999999999999" customHeight="1">
      <c r="A21" s="14"/>
      <c r="B21" s="90" t="s">
        <v>25</v>
      </c>
      <c r="C21" s="50"/>
      <c r="D21" s="103"/>
      <c r="E21" s="103">
        <v>0</v>
      </c>
      <c r="F21" s="51"/>
      <c r="G21" s="51"/>
      <c r="H21" s="17"/>
      <c r="I21" s="5"/>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row>
    <row r="22" spans="1:100" s="41" customFormat="1" ht="17.649999999999999" customHeight="1">
      <c r="A22" s="14"/>
      <c r="B22" s="90" t="s">
        <v>26</v>
      </c>
      <c r="C22" s="50"/>
      <c r="D22" s="103"/>
      <c r="E22" s="103">
        <v>0</v>
      </c>
      <c r="F22" s="51"/>
      <c r="G22" s="51"/>
      <c r="H22" s="17"/>
      <c r="I22" s="5"/>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row>
    <row r="23" spans="1:100" s="41" customFormat="1" ht="14.25">
      <c r="A23" s="14"/>
      <c r="B23" s="90"/>
      <c r="C23" s="50"/>
      <c r="D23" s="103"/>
      <c r="E23" s="103">
        <v>0</v>
      </c>
      <c r="F23" s="51"/>
      <c r="G23" s="51"/>
      <c r="H23" s="17"/>
      <c r="I23" s="5"/>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row>
    <row r="24" spans="1:100" s="41" customFormat="1" ht="24.4" customHeight="1">
      <c r="A24" s="13"/>
      <c r="B24" s="52" t="s">
        <v>27</v>
      </c>
      <c r="C24" s="53"/>
      <c r="D24" s="56"/>
      <c r="E24" s="54"/>
      <c r="F24" s="55"/>
      <c r="G24" s="56"/>
      <c r="H24" s="17"/>
      <c r="I24" s="5" t="str">
        <f t="shared" ca="1" si="39"/>
        <v/>
      </c>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97"/>
      <c r="BB24" s="97"/>
      <c r="BC24" s="97"/>
      <c r="BD24" s="97"/>
      <c r="BE24" s="97"/>
      <c r="BF24" s="97"/>
      <c r="BG24" s="97"/>
      <c r="BH24" s="97"/>
      <c r="BI24" s="97"/>
      <c r="BJ24" s="97"/>
      <c r="BK24" s="97"/>
      <c r="BL24" s="97"/>
      <c r="BM24" s="97"/>
      <c r="BN24" s="97"/>
      <c r="BO24" s="9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row>
    <row r="25" spans="1:100" s="41" customFormat="1" ht="16.5" customHeight="1">
      <c r="A25" s="13"/>
      <c r="B25" s="93" t="s">
        <v>28</v>
      </c>
      <c r="C25" s="58" t="s">
        <v>16</v>
      </c>
      <c r="D25" s="104"/>
      <c r="E25" s="104">
        <v>0</v>
      </c>
      <c r="F25" s="59"/>
      <c r="G25" s="59"/>
      <c r="H25" s="17"/>
      <c r="I25" s="5" t="str">
        <f t="shared" ca="1" si="39"/>
        <v/>
      </c>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row>
    <row r="26" spans="1:100" s="41" customFormat="1" ht="16.5" customHeight="1">
      <c r="A26" s="13"/>
      <c r="B26" s="94" t="s">
        <v>29</v>
      </c>
      <c r="C26" s="58" t="s">
        <v>16</v>
      </c>
      <c r="D26" s="104"/>
      <c r="E26" s="104">
        <v>0</v>
      </c>
      <c r="F26" s="59"/>
      <c r="G26" s="59"/>
      <c r="H26" s="17"/>
      <c r="I26" s="5" t="str">
        <f t="shared" ca="1" si="39"/>
        <v/>
      </c>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85"/>
      <c r="BK26" s="85"/>
      <c r="BL26" s="85"/>
      <c r="BM26" s="85"/>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row>
    <row r="27" spans="1:100" s="41" customFormat="1" ht="16.5" customHeight="1">
      <c r="A27" s="13"/>
      <c r="B27" s="93" t="s">
        <v>30</v>
      </c>
      <c r="C27" s="58"/>
      <c r="D27" s="104"/>
      <c r="E27" s="104">
        <v>0</v>
      </c>
      <c r="F27" s="59"/>
      <c r="G27" s="59"/>
      <c r="H27" s="17"/>
      <c r="I27" s="5"/>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row>
    <row r="28" spans="1:100" s="41" customFormat="1" ht="17.649999999999999" customHeight="1">
      <c r="A28" s="13"/>
      <c r="B28" s="94" t="s">
        <v>31</v>
      </c>
      <c r="C28" s="58" t="s">
        <v>16</v>
      </c>
      <c r="D28" s="104"/>
      <c r="E28" s="104">
        <v>0</v>
      </c>
      <c r="F28" s="59"/>
      <c r="G28" s="59"/>
      <c r="H28" s="17"/>
      <c r="I28" s="5" t="str">
        <f t="shared" ca="1" si="39"/>
        <v/>
      </c>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111"/>
      <c r="BK28" s="111"/>
      <c r="BL28" s="111"/>
      <c r="BM28" s="111"/>
      <c r="BN28" s="111"/>
      <c r="BO28" s="111"/>
      <c r="BP28" s="111"/>
      <c r="BQ28" s="111"/>
      <c r="BR28" s="111"/>
      <c r="BS28" s="111"/>
      <c r="BT28" s="111"/>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row>
    <row r="29" spans="1:100" s="41" customFormat="1" ht="17.649999999999999" customHeight="1">
      <c r="A29" s="13"/>
      <c r="B29" s="134" t="s">
        <v>32</v>
      </c>
      <c r="C29" s="135"/>
      <c r="D29" s="136"/>
      <c r="E29" s="136">
        <v>0</v>
      </c>
      <c r="F29" s="59"/>
      <c r="G29" s="59"/>
      <c r="H29" s="17"/>
      <c r="I29" s="5"/>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40"/>
      <c r="BI29" s="60"/>
      <c r="BJ29" s="137"/>
      <c r="BK29" s="137"/>
      <c r="BL29" s="137"/>
      <c r="BM29" s="137"/>
      <c r="BN29" s="137"/>
      <c r="BO29" s="137"/>
      <c r="BP29" s="137"/>
      <c r="BQ29" s="137"/>
      <c r="BR29" s="137"/>
      <c r="BS29" s="137"/>
      <c r="BT29" s="137"/>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row>
    <row r="30" spans="1:100" s="41" customFormat="1" ht="17.649999999999999" customHeight="1">
      <c r="A30" s="13"/>
      <c r="B30" s="134" t="s">
        <v>33</v>
      </c>
      <c r="C30" s="135"/>
      <c r="D30" s="136"/>
      <c r="E30" s="136">
        <v>0</v>
      </c>
      <c r="F30" s="59"/>
      <c r="G30" s="59"/>
      <c r="H30" s="17"/>
      <c r="I30" s="5"/>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40"/>
      <c r="BI30" s="60"/>
      <c r="BJ30" s="137"/>
      <c r="BK30" s="137"/>
      <c r="BL30" s="137"/>
      <c r="BM30" s="137"/>
      <c r="BN30" s="137"/>
      <c r="BO30" s="137"/>
      <c r="BP30" s="137"/>
      <c r="BQ30" s="137"/>
      <c r="BR30" s="137"/>
      <c r="BS30" s="137"/>
      <c r="BT30" s="137"/>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row>
    <row r="31" spans="1:100" s="41" customFormat="1" ht="19.5" customHeight="1">
      <c r="A31" s="13"/>
      <c r="B31" s="98" t="s">
        <v>34</v>
      </c>
      <c r="C31" s="99"/>
      <c r="D31" s="139"/>
      <c r="E31" s="100"/>
      <c r="F31" s="106"/>
      <c r="G31" s="106"/>
      <c r="H31" s="17"/>
      <c r="I31" s="5"/>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40"/>
      <c r="BI31" s="60"/>
      <c r="BU31" s="112"/>
      <c r="BV31" s="112"/>
      <c r="BW31" s="112"/>
      <c r="BX31" s="112"/>
      <c r="BY31" s="112"/>
      <c r="BZ31" s="112"/>
      <c r="CA31" s="112"/>
      <c r="CB31" s="112"/>
      <c r="CC31" s="112"/>
      <c r="CD31" s="112"/>
      <c r="CE31" s="112"/>
      <c r="CF31" s="60"/>
      <c r="CG31" s="60"/>
      <c r="CH31" s="60"/>
      <c r="CI31" s="60"/>
      <c r="CJ31" s="60"/>
      <c r="CK31" s="60"/>
      <c r="CL31" s="60"/>
      <c r="CM31" s="60"/>
      <c r="CN31" s="60"/>
      <c r="CO31" s="60"/>
      <c r="CP31" s="60"/>
      <c r="CQ31" s="60"/>
      <c r="CR31" s="60"/>
      <c r="CS31" s="60"/>
      <c r="CT31" s="60"/>
      <c r="CU31" s="60"/>
      <c r="CV31" s="60"/>
    </row>
    <row r="32" spans="1:100" s="41" customFormat="1" ht="15.75" customHeight="1">
      <c r="A32" s="13"/>
      <c r="B32" s="113" t="s">
        <v>35</v>
      </c>
      <c r="C32" s="83" t="s">
        <v>16</v>
      </c>
      <c r="D32" s="107"/>
      <c r="E32" s="107">
        <v>0</v>
      </c>
      <c r="F32" s="84"/>
      <c r="G32" s="84"/>
      <c r="H32" s="17"/>
      <c r="I32" s="5" t="str">
        <f t="shared" ca="1" si="39"/>
        <v/>
      </c>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108"/>
      <c r="BI32" s="109"/>
      <c r="BJ32" s="110"/>
      <c r="BK32" s="110"/>
      <c r="BL32" s="110"/>
      <c r="BM32" s="110"/>
      <c r="BN32" s="110"/>
      <c r="BO32" s="110"/>
      <c r="BP32" s="110"/>
      <c r="BQ32" s="110"/>
      <c r="BR32" s="110"/>
      <c r="BS32" s="110"/>
      <c r="BT32" s="110"/>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row>
    <row r="33" spans="1:100" s="41" customFormat="1" ht="15.75" customHeight="1">
      <c r="A33" s="13"/>
      <c r="B33" s="114" t="s">
        <v>36</v>
      </c>
      <c r="C33" s="83"/>
      <c r="D33" s="104"/>
      <c r="E33" s="104">
        <v>0</v>
      </c>
      <c r="F33" s="84"/>
      <c r="G33" s="84"/>
      <c r="H33" s="17"/>
      <c r="I33" s="5"/>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110"/>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row>
    <row r="34" spans="1:100" s="41" customFormat="1" ht="20.65" customHeight="1">
      <c r="A34" s="13"/>
      <c r="B34" s="114"/>
      <c r="C34" s="83" t="s">
        <v>16</v>
      </c>
      <c r="D34" s="104"/>
      <c r="E34" s="104">
        <v>0</v>
      </c>
      <c r="F34" s="84"/>
      <c r="G34" s="84"/>
      <c r="H34" s="17"/>
      <c r="I34" s="5" t="str">
        <f t="shared" ca="1" si="39"/>
        <v/>
      </c>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111"/>
      <c r="CK34" s="111"/>
      <c r="CL34" s="111"/>
      <c r="CM34" s="111"/>
      <c r="CN34" s="111"/>
      <c r="CO34" s="111"/>
      <c r="CP34" s="111"/>
      <c r="CQ34" s="111"/>
      <c r="CR34" s="111"/>
      <c r="CS34" s="111"/>
      <c r="CT34" s="111"/>
      <c r="CU34" s="111"/>
      <c r="CV34" s="111"/>
    </row>
    <row r="35" spans="1:100" s="41" customFormat="1" ht="25.15" customHeight="1">
      <c r="A35" s="13"/>
      <c r="B35" s="117" t="s">
        <v>37</v>
      </c>
      <c r="C35" s="118"/>
      <c r="D35" s="121"/>
      <c r="E35" s="119"/>
      <c r="F35" s="120">
        <v>45898</v>
      </c>
      <c r="G35" s="121">
        <v>45887</v>
      </c>
      <c r="H35" s="17"/>
      <c r="I35" s="5">
        <f t="shared" ca="1" si="39"/>
        <v>-10</v>
      </c>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11"/>
      <c r="CK35" s="111"/>
      <c r="CL35" s="111"/>
      <c r="CM35" s="111"/>
      <c r="CN35" s="111"/>
      <c r="CO35" s="111"/>
      <c r="CP35" s="111"/>
      <c r="CQ35" s="111"/>
      <c r="CR35" s="111"/>
      <c r="CS35" s="111"/>
      <c r="CT35" s="111"/>
      <c r="CU35" s="111"/>
      <c r="CV35" s="111"/>
    </row>
    <row r="36" spans="1:100" s="41" customFormat="1" ht="13.5" customHeight="1">
      <c r="A36" s="13"/>
      <c r="B36" s="95" t="s">
        <v>38</v>
      </c>
      <c r="C36" s="61" t="s">
        <v>16</v>
      </c>
      <c r="D36" s="105"/>
      <c r="E36" s="105">
        <v>1</v>
      </c>
      <c r="F36" s="62">
        <v>45896</v>
      </c>
      <c r="G36" s="62">
        <v>45903</v>
      </c>
      <c r="H36" s="17"/>
      <c r="I36" s="5">
        <f t="shared" ca="1" si="39"/>
        <v>8</v>
      </c>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110"/>
      <c r="CK36" s="110"/>
      <c r="CL36" s="110"/>
      <c r="CM36" s="110"/>
      <c r="CN36" s="110"/>
      <c r="CO36" s="110"/>
      <c r="CP36" s="110"/>
      <c r="CQ36" s="110"/>
      <c r="CR36" s="110"/>
      <c r="CS36" s="110"/>
      <c r="CT36" s="110"/>
      <c r="CU36" s="110"/>
      <c r="CV36" s="110"/>
    </row>
    <row r="37" spans="1:100" s="41" customFormat="1" ht="16.5" customHeight="1">
      <c r="A37" s="13"/>
      <c r="B37" s="116" t="s">
        <v>39</v>
      </c>
      <c r="C37" s="61" t="s">
        <v>16</v>
      </c>
      <c r="D37" s="105"/>
      <c r="E37" s="105">
        <v>0</v>
      </c>
      <c r="F37" s="62">
        <v>45915</v>
      </c>
      <c r="G37" s="62">
        <v>45924</v>
      </c>
      <c r="H37" s="17"/>
      <c r="I37" s="5">
        <f t="shared" ca="1" si="39"/>
        <v>10</v>
      </c>
      <c r="J37" s="122"/>
      <c r="K37" s="122"/>
      <c r="L37" s="122"/>
      <c r="M37" s="122"/>
      <c r="N37" s="122"/>
      <c r="O37" s="122"/>
      <c r="P37" s="122"/>
      <c r="Q37" s="122"/>
      <c r="R37" s="122"/>
      <c r="S37" s="122"/>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row>
    <row r="38" spans="1:100" s="41" customFormat="1" ht="18.75" customHeight="1">
      <c r="A38" s="13"/>
      <c r="B38" s="96" t="s">
        <v>40</v>
      </c>
      <c r="C38" s="86"/>
      <c r="D38" s="105"/>
      <c r="E38" s="105">
        <v>0</v>
      </c>
      <c r="F38" s="62">
        <v>45931</v>
      </c>
      <c r="G38" s="62">
        <v>45980</v>
      </c>
      <c r="H38" s="17"/>
      <c r="I38" s="5"/>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row>
    <row r="39" spans="1:100" s="41" customFormat="1" ht="22.5" customHeight="1">
      <c r="A39" s="13"/>
      <c r="B39" s="96" t="s">
        <v>41</v>
      </c>
      <c r="C39" s="86"/>
      <c r="D39" s="105"/>
      <c r="E39" s="105">
        <v>0</v>
      </c>
      <c r="F39" s="62">
        <v>45980</v>
      </c>
      <c r="G39" s="62">
        <v>45992</v>
      </c>
      <c r="H39" s="17"/>
      <c r="I39" s="5"/>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row>
    <row r="40" spans="1:100" s="41" customFormat="1" ht="30" customHeight="1">
      <c r="A40" s="13"/>
      <c r="B40" s="63"/>
      <c r="C40" s="64"/>
      <c r="D40" s="66"/>
      <c r="E40" s="65"/>
      <c r="F40" s="66"/>
      <c r="G40" s="66"/>
      <c r="H40" s="17"/>
      <c r="I40" s="5" t="str">
        <f t="shared" ca="1" si="39"/>
        <v/>
      </c>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row>
    <row r="41" spans="1:100" s="41" customFormat="1" ht="30" customHeight="1">
      <c r="A41" s="14"/>
      <c r="B41" s="67" t="s">
        <v>42</v>
      </c>
      <c r="C41" s="68"/>
      <c r="D41" s="71"/>
      <c r="E41" s="69"/>
      <c r="F41" s="70"/>
      <c r="G41" s="71"/>
      <c r="H41" s="17"/>
      <c r="I41" s="6" t="str">
        <f t="shared" ca="1" si="39"/>
        <v/>
      </c>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row>
    <row r="42" spans="1:100" ht="30" customHeight="1">
      <c r="H42" s="3"/>
    </row>
    <row r="43" spans="1:100" ht="30" customHeight="1">
      <c r="C43" s="16"/>
      <c r="D43" s="15"/>
      <c r="G43" s="15"/>
    </row>
    <row r="44" spans="1:100" ht="30" customHeight="1">
      <c r="C44" s="4"/>
    </row>
  </sheetData>
  <mergeCells count="24">
    <mergeCell ref="R3:AA3"/>
    <mergeCell ref="R2:AA2"/>
    <mergeCell ref="J2:P2"/>
    <mergeCell ref="J3:P3"/>
    <mergeCell ref="BN4:BT4"/>
    <mergeCell ref="BG4:BM4"/>
    <mergeCell ref="J4:P4"/>
    <mergeCell ref="Q4:W4"/>
    <mergeCell ref="X4:AD4"/>
    <mergeCell ref="AE4:AK4"/>
    <mergeCell ref="AL4:AR4"/>
    <mergeCell ref="AS4:AY4"/>
    <mergeCell ref="AZ4:BF4"/>
    <mergeCell ref="A5:A6"/>
    <mergeCell ref="CI4:CO4"/>
    <mergeCell ref="CP4:CV4"/>
    <mergeCell ref="CW4:DC4"/>
    <mergeCell ref="B5:B6"/>
    <mergeCell ref="C5:C6"/>
    <mergeCell ref="E5:E6"/>
    <mergeCell ref="F5:F6"/>
    <mergeCell ref="G5:G6"/>
    <mergeCell ref="BU4:CA4"/>
    <mergeCell ref="CB4:CH4"/>
  </mergeCells>
  <conditionalFormatting sqref="E7:E41">
    <cfRule type="dataBar" priority="80">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9:CH16">
    <cfRule type="expression" dxfId="13" priority="34" stopIfTrue="1">
      <formula>AND(task_start&lt;=J$5,ROUNDDOWN((task_end-task_start+1)*task_progress,0)+task_start-1&gt;=J$5)</formula>
    </cfRule>
    <cfRule type="expression" dxfId="12" priority="35" stopIfTrue="1">
      <formula>AND(task_end&gt;=J$5,task_start&lt;K$5)</formula>
    </cfRule>
  </conditionalFormatting>
  <conditionalFormatting sqref="J4:CV39">
    <cfRule type="expression" dxfId="11" priority="29">
      <formula>AND(TODAY()&gt;=J$5, TODAY()&lt;K$5)</formula>
    </cfRule>
  </conditionalFormatting>
  <conditionalFormatting sqref="J18:CV23">
    <cfRule type="expression" dxfId="10" priority="14">
      <formula>AND(task_start&lt;=J$5,ROUNDDOWN((task_end-task_start+1)*task_progress,0)+task_start-1&gt;=J$5)</formula>
    </cfRule>
    <cfRule type="expression" dxfId="9" priority="33" stopIfTrue="1">
      <formula>AND(task_end&gt;=J$5,task_start&lt;K$5)</formula>
    </cfRule>
  </conditionalFormatting>
  <conditionalFormatting sqref="J25:CV34">
    <cfRule type="expression" dxfId="8" priority="12">
      <formula>AND(task_start&lt;=J$5,ROUNDDOWN((task_end-task_start+1)*task_progress,0)+task_start-1&gt;=J$5)</formula>
    </cfRule>
    <cfRule type="expression" dxfId="7" priority="31" stopIfTrue="1">
      <formula>AND(task_end&gt;=J$5,task_start&lt;K$5)</formula>
    </cfRule>
  </conditionalFormatting>
  <conditionalFormatting sqref="J36:CV39">
    <cfRule type="expression" dxfId="6" priority="36">
      <formula>AND(task_start&lt;=J$5,ROUNDDOWN((task_end-task_start+1)*task_progress,0)+task_start-1&gt;=J$5)</formula>
    </cfRule>
    <cfRule type="expression" dxfId="5" priority="37" stopIfTrue="1">
      <formula>AND(task_end&gt;=J$5,task_start&lt;K$5)</formula>
    </cfRule>
  </conditionalFormatting>
  <conditionalFormatting sqref="CI9:CV16">
    <cfRule type="expression" dxfId="4" priority="16">
      <formula>AND(task_start&lt;=CI$5,ROUNDDOWN((task_end-task_start+1)*task_progress,0)+task_start-1&gt;=CI$5)</formula>
    </cfRule>
    <cfRule type="expression" dxfId="3" priority="17" stopIfTrue="1">
      <formula>AND(task_end&gt;=CI$5,task_start&lt;CJ$5)</formula>
    </cfRule>
  </conditionalFormatting>
  <conditionalFormatting sqref="CW4:DC6">
    <cfRule type="expression" dxfId="2" priority="10">
      <formula>AND(TODAY()&gt;=CW$5, TODAY()&lt;CX$5)</formula>
    </cfRule>
  </conditionalFormatting>
  <conditionalFormatting sqref="CJ35:CV35">
    <cfRule type="expression" dxfId="1" priority="8">
      <formula>AND(task_start&lt;=CJ$5,ROUNDDOWN((task_end-task_start+1)*task_progress,0)+task_start-1&gt;=CJ$5)</formula>
    </cfRule>
    <cfRule type="expression" dxfId="0" priority="9" stopIfTrue="1">
      <formula>AND(task_end&gt;=CJ$5,task_start&lt;CK$5)</formula>
    </cfRule>
  </conditionalFormatting>
  <conditionalFormatting sqref="D11">
    <cfRule type="dataBar" priority="7">
      <dataBar>
        <cfvo type="num" val="0"/>
        <cfvo type="num" val="1"/>
        <color theme="0"/>
      </dataBar>
      <extLst>
        <ext xmlns:x14="http://schemas.microsoft.com/office/spreadsheetml/2009/9/main" uri="{B025F937-C7B1-47D3-B67F-A62EFF666E3E}">
          <x14:id>{7340E2EF-FFA9-44C1-89F4-609CA90486D8}</x14:id>
        </ext>
      </extLst>
    </cfRule>
  </conditionalFormatting>
  <conditionalFormatting sqref="D10">
    <cfRule type="dataBar" priority="6">
      <dataBar>
        <cfvo type="num" val="0"/>
        <cfvo type="num" val="1"/>
        <color theme="0"/>
      </dataBar>
      <extLst>
        <ext xmlns:x14="http://schemas.microsoft.com/office/spreadsheetml/2009/9/main" uri="{B025F937-C7B1-47D3-B67F-A62EFF666E3E}">
          <x14:id>{5DABAC73-6AFF-44DC-A3C2-8FCFA7A93B67}</x14:id>
        </ext>
      </extLst>
    </cfRule>
  </conditionalFormatting>
  <conditionalFormatting sqref="D9:D16">
    <cfRule type="dataBar" priority="5">
      <dataBar>
        <cfvo type="num" val="0"/>
        <cfvo type="num" val="1"/>
        <color theme="0"/>
      </dataBar>
      <extLst>
        <ext xmlns:x14="http://schemas.microsoft.com/office/spreadsheetml/2009/9/main" uri="{B025F937-C7B1-47D3-B67F-A62EFF666E3E}">
          <x14:id>{2DC9A86D-12CE-421B-8F87-DD62CE4F4EF7}</x14:id>
        </ext>
      </extLst>
    </cfRule>
  </conditionalFormatting>
  <conditionalFormatting sqref="D18:D23">
    <cfRule type="dataBar" priority="4">
      <dataBar>
        <cfvo type="num" val="0"/>
        <cfvo type="num" val="1"/>
        <color theme="0"/>
      </dataBar>
      <extLst>
        <ext xmlns:x14="http://schemas.microsoft.com/office/spreadsheetml/2009/9/main" uri="{B025F937-C7B1-47D3-B67F-A62EFF666E3E}">
          <x14:id>{9775D643-F7F6-4DBE-8741-DDECBE9DA52B}</x14:id>
        </ext>
      </extLst>
    </cfRule>
  </conditionalFormatting>
  <conditionalFormatting sqref="D25:D30">
    <cfRule type="dataBar" priority="3">
      <dataBar>
        <cfvo type="num" val="0"/>
        <cfvo type="num" val="1"/>
        <color theme="0"/>
      </dataBar>
      <extLst>
        <ext xmlns:x14="http://schemas.microsoft.com/office/spreadsheetml/2009/9/main" uri="{B025F937-C7B1-47D3-B67F-A62EFF666E3E}">
          <x14:id>{7BE9F37A-E05E-42A8-92B1-E80BF67A572C}</x14:id>
        </ext>
      </extLst>
    </cfRule>
  </conditionalFormatting>
  <conditionalFormatting sqref="D32:D34">
    <cfRule type="dataBar" priority="2">
      <dataBar>
        <cfvo type="num" val="0"/>
        <cfvo type="num" val="1"/>
        <color theme="0"/>
      </dataBar>
      <extLst>
        <ext xmlns:x14="http://schemas.microsoft.com/office/spreadsheetml/2009/9/main" uri="{B025F937-C7B1-47D3-B67F-A62EFF666E3E}">
          <x14:id>{90F64B53-10DB-4642-9987-8F940746A438}</x14:id>
        </ext>
      </extLst>
    </cfRule>
  </conditionalFormatting>
  <conditionalFormatting sqref="D36:D39">
    <cfRule type="dataBar" priority="1">
      <dataBar>
        <cfvo type="num" val="0"/>
        <cfvo type="num" val="1"/>
        <color theme="0"/>
      </dataBar>
      <extLst>
        <ext xmlns:x14="http://schemas.microsoft.com/office/spreadsheetml/2009/9/main" uri="{B025F937-C7B1-47D3-B67F-A62EFF666E3E}">
          <x14:id>{045FF075-8CB4-4F89-9F57-34CD6DC5EE5D}</x14:id>
        </ext>
      </extLst>
    </cfRule>
  </conditionalFormatting>
  <dataValidations count="11">
    <dataValidation type="whole" operator="greaterThanOrEqual" allowBlank="1" showInputMessage="1" promptTitle="Display Week" prompt="Changing this number will scroll the Gantt Chart view." sqref="R3"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2" xr:uid="{D005F8F4-EA16-4627-8A05-1997BE425B88}"/>
    <dataValidation allowBlank="1" showInputMessage="1" showErrorMessage="1" prompt="Enter Company name in cel B2." sqref="A3" xr:uid="{75F274B0-5B30-4CC0-A53C-C012C0845179}"/>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xr:uid="{4F48FC41-E335-47F1-87AA-3333A52AD81C}"/>
    <dataValidation allowBlank="1" showInputMessage="1" showErrorMessage="1" prompt="Phase 3's sample block starts in cell B20." sqref="A24" xr:uid="{956902D1-D3B5-416D-BB69-9362D193BC0A}"/>
    <dataValidation allowBlank="1" showInputMessage="1" showErrorMessage="1" prompt="Phase 4's sample block starts in cell B26." sqref="A3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1" xr:uid="{79B9237E-4DD3-4E0F-8ED6-E0B695A99D96}"/>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6" xr:uid="{D870A2F6-6B07-4F5A-A81D-4BCCFADF87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E7:E41</xm:sqref>
        </x14:conditionalFormatting>
        <x14:conditionalFormatting xmlns:xm="http://schemas.microsoft.com/office/excel/2006/main">
          <x14:cfRule type="dataBar" id="{7340E2EF-FFA9-44C1-89F4-609CA90486D8}">
            <x14:dataBar minLength="0" maxLength="100" gradient="0">
              <x14:cfvo type="num">
                <xm:f>0</xm:f>
              </x14:cfvo>
              <x14:cfvo type="num">
                <xm:f>1</xm:f>
              </x14:cfvo>
              <x14:negativeFillColor rgb="FFFF0000"/>
              <x14:axisColor rgb="FF000000"/>
            </x14:dataBar>
          </x14:cfRule>
          <xm:sqref>D11</xm:sqref>
        </x14:conditionalFormatting>
        <x14:conditionalFormatting xmlns:xm="http://schemas.microsoft.com/office/excel/2006/main">
          <x14:cfRule type="dataBar" id="{5DABAC73-6AFF-44DC-A3C2-8FCFA7A93B67}">
            <x14:dataBar minLength="0" maxLength="100" gradient="0">
              <x14:cfvo type="num">
                <xm:f>0</xm:f>
              </x14:cfvo>
              <x14:cfvo type="num">
                <xm:f>1</xm:f>
              </x14:cfvo>
              <x14:negativeFillColor rgb="FFFF0000"/>
              <x14:axisColor rgb="FF000000"/>
            </x14:dataBar>
          </x14:cfRule>
          <xm:sqref>D10</xm:sqref>
        </x14:conditionalFormatting>
        <x14:conditionalFormatting xmlns:xm="http://schemas.microsoft.com/office/excel/2006/main">
          <x14:cfRule type="dataBar" id="{2DC9A86D-12CE-421B-8F87-DD62CE4F4EF7}">
            <x14:dataBar minLength="0" maxLength="100" gradient="0">
              <x14:cfvo type="num">
                <xm:f>0</xm:f>
              </x14:cfvo>
              <x14:cfvo type="num">
                <xm:f>1</xm:f>
              </x14:cfvo>
              <x14:negativeFillColor rgb="FFFF0000"/>
              <x14:axisColor rgb="FF000000"/>
            </x14:dataBar>
          </x14:cfRule>
          <xm:sqref>D9:D16</xm:sqref>
        </x14:conditionalFormatting>
        <x14:conditionalFormatting xmlns:xm="http://schemas.microsoft.com/office/excel/2006/main">
          <x14:cfRule type="dataBar" id="{9775D643-F7F6-4DBE-8741-DDECBE9DA52B}">
            <x14:dataBar minLength="0" maxLength="100" gradient="0">
              <x14:cfvo type="num">
                <xm:f>0</xm:f>
              </x14:cfvo>
              <x14:cfvo type="num">
                <xm:f>1</xm:f>
              </x14:cfvo>
              <x14:negativeFillColor rgb="FFFF0000"/>
              <x14:axisColor rgb="FF000000"/>
            </x14:dataBar>
          </x14:cfRule>
          <xm:sqref>D18:D23</xm:sqref>
        </x14:conditionalFormatting>
        <x14:conditionalFormatting xmlns:xm="http://schemas.microsoft.com/office/excel/2006/main">
          <x14:cfRule type="dataBar" id="{7BE9F37A-E05E-42A8-92B1-E80BF67A572C}">
            <x14:dataBar minLength="0" maxLength="100" gradient="0">
              <x14:cfvo type="num">
                <xm:f>0</xm:f>
              </x14:cfvo>
              <x14:cfvo type="num">
                <xm:f>1</xm:f>
              </x14:cfvo>
              <x14:negativeFillColor rgb="FFFF0000"/>
              <x14:axisColor rgb="FF000000"/>
            </x14:dataBar>
          </x14:cfRule>
          <xm:sqref>D25:D30</xm:sqref>
        </x14:conditionalFormatting>
        <x14:conditionalFormatting xmlns:xm="http://schemas.microsoft.com/office/excel/2006/main">
          <x14:cfRule type="dataBar" id="{90F64B53-10DB-4642-9987-8F940746A438}">
            <x14:dataBar minLength="0" maxLength="100" gradient="0">
              <x14:cfvo type="num">
                <xm:f>0</xm:f>
              </x14:cfvo>
              <x14:cfvo type="num">
                <xm:f>1</xm:f>
              </x14:cfvo>
              <x14:negativeFillColor rgb="FFFF0000"/>
              <x14:axisColor rgb="FF000000"/>
            </x14:dataBar>
          </x14:cfRule>
          <xm:sqref>D32:D34</xm:sqref>
        </x14:conditionalFormatting>
        <x14:conditionalFormatting xmlns:xm="http://schemas.microsoft.com/office/excel/2006/main">
          <x14:cfRule type="dataBar" id="{045FF075-8CB4-4F89-9F57-34CD6DC5EE5D}">
            <x14:dataBar minLength="0" maxLength="100" gradient="0">
              <x14:cfvo type="num">
                <xm:f>0</xm:f>
              </x14:cfvo>
              <x14:cfvo type="num">
                <xm:f>1</xm:f>
              </x14:cfvo>
              <x14:negativeFillColor rgb="FFFF0000"/>
              <x14:axisColor rgb="FF000000"/>
            </x14:dataBar>
          </x14:cfRule>
          <xm:sqref>D36:D39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4"/>
  <sheetViews>
    <sheetView showGridLines="0" zoomScaleNormal="100" workbookViewId="0">
      <selection activeCell="A7" sqref="A7"/>
    </sheetView>
  </sheetViews>
  <sheetFormatPr defaultColWidth="9" defaultRowHeight="13.15"/>
  <cols>
    <col min="1" max="1" width="87" style="7" customWidth="1"/>
    <col min="2" max="16384" width="9" style="1"/>
  </cols>
  <sheetData>
    <row r="1" spans="1:2" ht="46.5" customHeight="1"/>
    <row r="2" spans="1:2" s="9" customFormat="1" ht="15.6">
      <c r="A2" s="75" t="s">
        <v>43</v>
      </c>
      <c r="B2" s="8"/>
    </row>
    <row r="3" spans="1:2" s="11" customFormat="1" ht="27" customHeight="1">
      <c r="A3" s="76"/>
      <c r="B3" s="12"/>
    </row>
    <row r="4" spans="1:2" s="10" customFormat="1" ht="30">
      <c r="A4" s="77" t="s">
        <v>44</v>
      </c>
    </row>
    <row r="5" spans="1:2" ht="74.25" customHeight="1">
      <c r="A5" s="78" t="s">
        <v>45</v>
      </c>
    </row>
    <row r="6" spans="1:2" ht="26.25" customHeight="1">
      <c r="A6" s="77" t="s">
        <v>46</v>
      </c>
    </row>
    <row r="7" spans="1:2" s="7" customFormat="1" ht="205.15" customHeight="1">
      <c r="A7" s="79" t="s">
        <v>47</v>
      </c>
    </row>
    <row r="8" spans="1:2" s="10" customFormat="1" ht="30">
      <c r="A8" s="77" t="s">
        <v>48</v>
      </c>
    </row>
    <row r="9" spans="1:2" ht="41.45">
      <c r="A9" s="78" t="s">
        <v>49</v>
      </c>
    </row>
    <row r="10" spans="1:2" s="7" customFormat="1" ht="28.15" customHeight="1">
      <c r="A10" s="80" t="s">
        <v>50</v>
      </c>
    </row>
    <row r="11" spans="1:2" s="10" customFormat="1" ht="30">
      <c r="A11" s="77" t="s">
        <v>51</v>
      </c>
    </row>
    <row r="12" spans="1:2" ht="27.6">
      <c r="A12" s="78" t="s">
        <v>52</v>
      </c>
    </row>
    <row r="13" spans="1:2" s="7" customFormat="1" ht="28.15" customHeight="1">
      <c r="A13" s="80" t="s">
        <v>53</v>
      </c>
    </row>
    <row r="14" spans="1:2" s="10" customFormat="1" ht="30">
      <c r="A14" s="77" t="s">
        <v>54</v>
      </c>
    </row>
    <row r="15" spans="1:2" ht="75" customHeight="1">
      <c r="A15" s="78" t="s">
        <v>55</v>
      </c>
    </row>
    <row r="16" spans="1:2" ht="69">
      <c r="A16" s="78" t="s">
        <v>56</v>
      </c>
    </row>
    <row r="17" spans="1:1">
      <c r="A17" s="81"/>
    </row>
    <row r="18" spans="1:1">
      <c r="A18" s="81"/>
    </row>
    <row r="19" spans="1:1">
      <c r="A19" s="81"/>
    </row>
    <row r="20" spans="1:1">
      <c r="A20" s="81"/>
    </row>
    <row r="21" spans="1:1">
      <c r="A21" s="81"/>
    </row>
    <row r="22" spans="1:1">
      <c r="A22" s="81"/>
    </row>
    <row r="23" spans="1:1">
      <c r="A23" s="81"/>
    </row>
    <row r="24" spans="1:1">
      <c r="A24" s="8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B057E667DC824BB5314C703D16E307" ma:contentTypeVersion="3" ma:contentTypeDescription="Create a new document." ma:contentTypeScope="" ma:versionID="55651647768517f7e1c1070faf98f2ea">
  <xsd:schema xmlns:xsd="http://www.w3.org/2001/XMLSchema" xmlns:xs="http://www.w3.org/2001/XMLSchema" xmlns:p="http://schemas.microsoft.com/office/2006/metadata/properties" xmlns:ns2="64a47c58-f5bd-4105-849d-317579a5541c" targetNamespace="http://schemas.microsoft.com/office/2006/metadata/properties" ma:root="true" ma:fieldsID="62aa4d55ca295818f9ef701615feb2e4" ns2:_="">
    <xsd:import namespace="64a47c58-f5bd-4105-849d-317579a554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a47c58-f5bd-4105-849d-317579a554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ED8A9DD4-B65E-4497-A7CE-8CA0D817DBE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conneran</dc:creator>
  <cp:keywords/>
  <dc:description/>
  <cp:lastModifiedBy/>
  <cp:revision/>
  <dcterms:created xsi:type="dcterms:W3CDTF">2022-03-11T22:41:12Z</dcterms:created>
  <dcterms:modified xsi:type="dcterms:W3CDTF">2025-09-16T02:50:12Z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0x010100BAB057E667DC824BB5314C703D16E307</vt:lpwstr>
  </property>
  <property fmtid="{D5CDD505-2E9C-101B-9397-08002B2CF9AE}" pid="3" name="MediaServiceImageTags">
    <vt:lpwstr/>
  </property>
</Properties>
</file>