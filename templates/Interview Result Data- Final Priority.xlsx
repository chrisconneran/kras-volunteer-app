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5adb5ab0053c7/Documentos/School/Internship/internship Project Documents/"/>
    </mc:Choice>
  </mc:AlternateContent>
  <xr:revisionPtr revIDLastSave="10" documentId="14_{C269E945-9446-48AC-9626-3130E1848036}" xr6:coauthVersionLast="47" xr6:coauthVersionMax="47" xr10:uidLastSave="{A8ADFB27-4454-4765-8A45-8F9CF1BEFDB6}"/>
  <bookViews>
    <workbookView xWindow="-108" yWindow="-108" windowWidth="23256" windowHeight="12816" activeTab="1" xr2:uid="{A692AB10-A2C2-4224-9A7C-5EABAE8D1045}"/>
  </bookViews>
  <sheets>
    <sheet name="Survey Results" sheetId="1" r:id="rId1"/>
    <sheet name="Suggested Improv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D34" i="1"/>
  <c r="E34" i="1"/>
  <c r="G34" i="1"/>
  <c r="H34" i="1"/>
  <c r="J34" i="1"/>
  <c r="K34" i="1"/>
  <c r="M34" i="1"/>
  <c r="N34" i="1"/>
  <c r="O29" i="1"/>
  <c r="O32" i="1"/>
  <c r="O31" i="1"/>
  <c r="O30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34" i="1" l="1"/>
</calcChain>
</file>

<file path=xl/sharedStrings.xml><?xml version="1.0" encoding="utf-8"?>
<sst xmlns="http://schemas.openxmlformats.org/spreadsheetml/2006/main" count="1613" uniqueCount="435">
  <si>
    <t>Participant ID</t>
  </si>
  <si>
    <t>Duration</t>
  </si>
  <si>
    <t>Correct Answer</t>
  </si>
  <si>
    <t>Yes</t>
  </si>
  <si>
    <t>P-01</t>
  </si>
  <si>
    <t>Task 2: 
 Exploring Trial Map</t>
  </si>
  <si>
    <t>Task 1: 
 Personalized Search &amp; Results</t>
  </si>
  <si>
    <t>Rating</t>
  </si>
  <si>
    <t>Task 4: 
Trial Locations &amp; Contacts</t>
  </si>
  <si>
    <t>Task 3: 
 Details, Inclusions &amp; Exclusions</t>
  </si>
  <si>
    <t>SUS Score</t>
  </si>
  <si>
    <t>P-02</t>
  </si>
  <si>
    <t>P-03</t>
  </si>
  <si>
    <t>Patty Mcconnell</t>
  </si>
  <si>
    <t>Rosemary Conway</t>
  </si>
  <si>
    <t>Brian Owens</t>
  </si>
  <si>
    <t>Penny Wagnon</t>
  </si>
  <si>
    <t>P-04</t>
  </si>
  <si>
    <t>P-05</t>
  </si>
  <si>
    <t>Laura Macke</t>
  </si>
  <si>
    <t>P-06</t>
  </si>
  <si>
    <t>Lida Chu</t>
  </si>
  <si>
    <t>P-07</t>
  </si>
  <si>
    <t>Joe Regier</t>
  </si>
  <si>
    <t>George Lee</t>
  </si>
  <si>
    <t>Lisa Haines</t>
  </si>
  <si>
    <t>Wayne Yeung</t>
  </si>
  <si>
    <t>P-08</t>
  </si>
  <si>
    <t>P-09</t>
  </si>
  <si>
    <t>P-10</t>
  </si>
  <si>
    <t>Interview</t>
  </si>
  <si>
    <t>Kathleen Reilly</t>
  </si>
  <si>
    <t>Naor Matania</t>
  </si>
  <si>
    <t>Maureen Pastore</t>
  </si>
  <si>
    <t>Nancy Coxwell</t>
  </si>
  <si>
    <t>Jess Stuart</t>
  </si>
  <si>
    <t>Merav Lahav</t>
  </si>
  <si>
    <t>Tivis Angelo</t>
  </si>
  <si>
    <t>Laura Sugerman</t>
  </si>
  <si>
    <t>Nicole Halton</t>
  </si>
  <si>
    <t>Rachel Buchheit</t>
  </si>
  <si>
    <t xml:space="preserve">MaryAnn Bradley </t>
  </si>
  <si>
    <t>Jackie Keast</t>
  </si>
  <si>
    <t>Silvy Kehrli</t>
  </si>
  <si>
    <t>christine martin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</si>
  <si>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</si>
  <si>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</si>
  <si>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</si>
  <si>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</si>
  <si>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</si>
  <si>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</si>
  <si>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</si>
  <si>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</si>
  <si>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</si>
  <si>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</si>
  <si>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</si>
  <si>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</si>
  <si>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</si>
  <si>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</si>
  <si>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</si>
  <si>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</si>
  <si>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</si>
  <si>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</si>
  <si>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</si>
  <si>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</si>
  <si>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Average</t>
  </si>
  <si>
    <t>Date</t>
  </si>
  <si>
    <t>Final Result Comments</t>
  </si>
  <si>
    <t>Yes I would highly recommend this tool because there is nothing out there so easy to use and with the extent of the information.</t>
  </si>
  <si>
    <t>Amazing</t>
  </si>
  <si>
    <t>Indeed.   With corrections will be ready for initial publication.</t>
  </si>
  <si>
    <t>Yes I would recommend it</t>
  </si>
  <si>
    <t>Yes this is an intuitive tool that presents information in a streamlined way and I would recommend it to others</t>
  </si>
  <si>
    <t>No additional recommendations at this time</t>
  </si>
  <si>
    <t>Absolutely!</t>
  </si>
  <si>
    <t>it's way better than clinicaltrials.gov........</t>
  </si>
  <si>
    <t>Yes recommend</t>
  </si>
  <si>
    <t>It's no better or worse than what's out there right now.</t>
  </si>
  <si>
    <t>Absolutely</t>
  </si>
  <si>
    <t>How quickly I was able to filter between results</t>
  </si>
  <si>
    <t>YES YES YES YES !!!!!!!</t>
  </si>
  <si>
    <t>Yes. It provides easy access and hope re. available trials</t>
  </si>
  <si>
    <t>Yes!</t>
  </si>
  <si>
    <t>yes, easy to use and helpful</t>
  </si>
  <si>
    <t>yes</t>
  </si>
  <si>
    <t>Yes, this is a more streamlined search tool that what is currently available.</t>
  </si>
  <si>
    <t>Yes!  Love it!  Easy to use</t>
  </si>
  <si>
    <t xml:space="preserve">yes absolutely </t>
  </si>
  <si>
    <t>Duration (sec)</t>
  </si>
  <si>
    <t>Seconds</t>
  </si>
  <si>
    <t>No - Needed Help</t>
  </si>
  <si>
    <t>Correct</t>
  </si>
  <si>
    <t>Rate</t>
  </si>
  <si>
    <t>Carloa Huertas</t>
  </si>
  <si>
    <t>Jenn Trader</t>
  </si>
  <si>
    <t>Hillary Gerstein</t>
  </si>
  <si>
    <t>marianne vincent</t>
  </si>
  <si>
    <t>yes, makes searching incredibly easy</t>
  </si>
  <si>
    <t>Easy to use</t>
  </si>
  <si>
    <t>Yes, can I have it now?</t>
  </si>
  <si>
    <t>Marsha Tan</t>
  </si>
  <si>
    <t>Chris Hebert</t>
  </si>
  <si>
    <t>Final SUS Score</t>
  </si>
  <si>
    <t>Yes. It is way easier to use and more accurate</t>
  </si>
  <si>
    <t>County</t>
  </si>
  <si>
    <t>State</t>
  </si>
  <si>
    <t>Gender</t>
  </si>
  <si>
    <t>Completing Survey as</t>
  </si>
  <si>
    <t>Primary Cancer</t>
  </si>
  <si>
    <t>KRAS Sub-Type</t>
  </si>
  <si>
    <t>Familiar with Clinical Trials?</t>
  </si>
  <si>
    <t>Participated in a trial?</t>
  </si>
  <si>
    <t>Distance Willing to Travel</t>
  </si>
  <si>
    <t>USA</t>
  </si>
  <si>
    <t>North Carolina</t>
  </si>
  <si>
    <t>Female</t>
  </si>
  <si>
    <t>Pharma</t>
  </si>
  <si>
    <t>N/A</t>
  </si>
  <si>
    <t>somewhat</t>
  </si>
  <si>
    <t xml:space="preserve">No </t>
  </si>
  <si>
    <t>250-500</t>
  </si>
  <si>
    <t>Massachusetts</t>
  </si>
  <si>
    <t>Florida</t>
  </si>
  <si>
    <t>Deleware</t>
  </si>
  <si>
    <t>Male</t>
  </si>
  <si>
    <t>Patient</t>
  </si>
  <si>
    <t>Lung</t>
  </si>
  <si>
    <t>Pancratic</t>
  </si>
  <si>
    <t>G12D</t>
  </si>
  <si>
    <t>G12C</t>
  </si>
  <si>
    <t>Very Familiar</t>
  </si>
  <si>
    <t>25-100</t>
  </si>
  <si>
    <t>Not Sure</t>
  </si>
  <si>
    <t>Open to any Location</t>
  </si>
  <si>
    <t>Virginia</t>
  </si>
  <si>
    <t>Health Care Provider</t>
  </si>
  <si>
    <t>care Partner</t>
  </si>
  <si>
    <t>Ovarian</t>
  </si>
  <si>
    <t>Somewhat</t>
  </si>
  <si>
    <t>&lt;25</t>
  </si>
  <si>
    <t>California</t>
  </si>
  <si>
    <t>G12V</t>
  </si>
  <si>
    <t>100-250</t>
  </si>
  <si>
    <t>No</t>
  </si>
  <si>
    <t>Israel</t>
  </si>
  <si>
    <t>Maryland</t>
  </si>
  <si>
    <t>Norway</t>
  </si>
  <si>
    <t>Argentina</t>
  </si>
  <si>
    <t>New Zealand</t>
  </si>
  <si>
    <t>New York</t>
  </si>
  <si>
    <t>Louisiana</t>
  </si>
  <si>
    <t>Age</t>
  </si>
  <si>
    <t>40-49</t>
  </si>
  <si>
    <t>60-69</t>
  </si>
  <si>
    <t>70-79</t>
  </si>
  <si>
    <t>18-29</t>
  </si>
  <si>
    <t>50-59</t>
  </si>
  <si>
    <t>ColonRectal</t>
  </si>
  <si>
    <t>no</t>
  </si>
  <si>
    <t>G12S</t>
  </si>
  <si>
    <t>Kentucky</t>
  </si>
  <si>
    <t>Kansas</t>
  </si>
  <si>
    <t>G12R</t>
  </si>
  <si>
    <t>Canadian</t>
  </si>
  <si>
    <t>30-39</t>
  </si>
  <si>
    <t>Texas</t>
  </si>
  <si>
    <t>Rhode Island</t>
  </si>
  <si>
    <t>Q61</t>
  </si>
  <si>
    <t>G13D</t>
  </si>
  <si>
    <t>care partner</t>
  </si>
  <si>
    <t>Not at all</t>
  </si>
  <si>
    <t>Arkansas</t>
  </si>
  <si>
    <t>Functional Area</t>
  </si>
  <si>
    <t>Subcategory</t>
  </si>
  <si>
    <t>Suggestion</t>
  </si>
  <si>
    <t>Contributor</t>
  </si>
  <si>
    <t>Accessibility &amp; Visual Design</t>
  </si>
  <si>
    <t>Color/accessibility</t>
  </si>
  <si>
    <t>Change active selection from red to orange (more positive, color-blind friendly).</t>
  </si>
  <si>
    <t>Do not use red for selection; prefer positive colors.</t>
  </si>
  <si>
    <t>Community/Evidence</t>
  </si>
  <si>
    <t>Experiences</t>
  </si>
  <si>
    <t>Button to see patient experiences or information about the trial.</t>
  </si>
  <si>
    <t>Data Integration &amp; Sources</t>
  </si>
  <si>
    <t>CT.gov link</t>
  </si>
  <si>
    <t>Link to ClinicalTrials.gov page for the trial.</t>
  </si>
  <si>
    <t>MaryAnn Bradley</t>
  </si>
  <si>
    <t>Open ClinicalTrials.gov in new tab and make it easy to return.</t>
  </si>
  <si>
    <t>Direct link to ClinicalTrials.gov for the trial.</t>
  </si>
  <si>
    <t>EMA integration</t>
  </si>
  <si>
    <t>Connect to EMA database; cross-reference with CT.gov and provide summary + link.</t>
  </si>
  <si>
    <t>Wayne Young</t>
  </si>
  <si>
    <t>EMA results</t>
  </si>
  <si>
    <t>Pull results from EMA and display in the app.</t>
  </si>
  <si>
    <t>Sponsor info</t>
  </si>
  <si>
    <t>Add sponsor information on the facilities tab.</t>
  </si>
  <si>
    <t>Data Integrity &amp; Contacts</t>
  </si>
  <si>
    <t>Site contact info</t>
  </si>
  <si>
    <t>Ensure study contact includes address and phone; pull data for the user.</t>
  </si>
  <si>
    <t>Donations &amp; Support</t>
  </si>
  <si>
    <t>Donations</t>
  </si>
  <si>
    <t>Provide a way to donate to trials or KRAS Kickers.</t>
  </si>
  <si>
    <t>Eligibility &amp; Personalization</t>
  </si>
  <si>
    <t>Metastases allowance</t>
  </si>
  <si>
    <t>Filter/show trials that accept brain metastases.</t>
  </si>
  <si>
    <t>Option to search trials that allow brain or bone metastases.</t>
  </si>
  <si>
    <t>Stage</t>
  </si>
  <si>
    <t>Flag and enable search by cancer stage (1â€“4) including combinations.</t>
  </si>
  <si>
    <t>Naor Matonic</t>
  </si>
  <si>
    <t>Error Handling &amp; Quality</t>
  </si>
  <si>
    <t>Empty state</t>
  </si>
  <si>
    <t>Show 'No data found' instead of an error when no results.</t>
  </si>
  <si>
    <t>Facilities &amp; Contacts</t>
  </si>
  <si>
    <t>Contact fallback</t>
  </si>
  <si>
    <t>If site lacks email/phone, show sponsor contact info on Trial Details.</t>
  </si>
  <si>
    <t>Contact info</t>
  </si>
  <si>
    <t>Ensure next-step contact is available; include sponsor info if facility contact absent.</t>
  </si>
  <si>
    <t>Facilities summary</t>
  </si>
  <si>
    <t>Show total number of locations near top-left of facilities screen; include sponsor info + phone and a contact method.</t>
  </si>
  <si>
    <t>Genomics &amp; Biomarkers</t>
  </si>
  <si>
    <t>Biomarker filters</t>
  </si>
  <si>
    <t>Enable search for colon-cancer specific biomarkers: TMB, MSI, GNAS, CD46 (MCP).</t>
  </si>
  <si>
    <t>Genomics &amp; Mutations</t>
  </si>
  <si>
    <t>Co-mutations</t>
  </si>
  <si>
    <t>Search for co-mutations (e.g., STK11, ATM) with KRAS G12V.</t>
  </si>
  <si>
    <t>Histology subtype</t>
  </si>
  <si>
    <t>Identify trials focused on mucinous lung cancer.</t>
  </si>
  <si>
    <t>Mutation normalization</t>
  </si>
  <si>
    <t>Treat 'G12x' as 'all G12'.</t>
  </si>
  <si>
    <t>Sub-mutations</t>
  </si>
  <si>
    <t>Enable querying by sub-mutations.</t>
  </si>
  <si>
    <t>Jess Stewart</t>
  </si>
  <si>
    <t>Search and flag sub-mutations when available.</t>
  </si>
  <si>
    <t>Include sub-mutations in search and display.</t>
  </si>
  <si>
    <t>Add sub-mutations and Q61 to search/display.</t>
  </si>
  <si>
    <t>Geography &amp; Maps</t>
  </si>
  <si>
    <t>Distance</t>
  </si>
  <si>
    <t>Add 'Unlimited distance' as a search option.</t>
  </si>
  <si>
    <t>Distance buckets</t>
  </si>
  <si>
    <t>Distance buckets: &lt;100, 100â€“250, 250â€“500, &gt;500 miles.</t>
  </si>
  <si>
    <t>Distance control</t>
  </si>
  <si>
    <t>Use dropdown (not slider) for distance selection.</t>
  </si>
  <si>
    <t>Facility links</t>
  </si>
  <si>
    <t>Add hyperlink to facility location website.</t>
  </si>
  <si>
    <t>International map center</t>
  </si>
  <si>
    <t>Center results on selected country if outside US.</t>
  </si>
  <si>
    <t>International search</t>
  </si>
  <si>
    <t>Fix country search; when selecting a country outside the US, provide list of cities; show selected country on map; determine closest site based on cities and show mileage.</t>
  </si>
  <si>
    <t>Map completeness</t>
  </si>
  <si>
    <t>Display all sites on maps, not truncated (e.g., not 'three trials and â€¦').</t>
  </si>
  <si>
    <t>Map interactions</t>
  </si>
  <si>
    <t>On map, show all trials available at each location when clicking the button.</t>
  </si>
  <si>
    <t>Travel logistics</t>
  </si>
  <si>
    <t>Add closest hotel and hospitality info for each facility.</t>
  </si>
  <si>
    <t>User location</t>
  </si>
  <si>
    <t>Pin marker for userâ€™s location on map.</t>
  </si>
  <si>
    <t>Help &amp; Onboarding</t>
  </si>
  <si>
    <t>Feedback loop</t>
  </si>
  <si>
    <t>Add a help/feedback tab to collect suggestions.</t>
  </si>
  <si>
    <t>Tooltips</t>
  </si>
  <si>
    <t>Tooltips '?' for each search option and result column.</t>
  </si>
  <si>
    <t>Tooltips/help</t>
  </si>
  <si>
    <t>Bubble help definitions for each search option.</t>
  </si>
  <si>
    <t>Training</t>
  </si>
  <si>
    <t>Provide a short training video on how to use the tool.</t>
  </si>
  <si>
    <t>Internationalization</t>
  </si>
  <si>
    <t>Multi-country selection</t>
  </si>
  <si>
    <t>Allow selection of multiple countries (e.g., Europe).</t>
  </si>
  <si>
    <t>Non-US coverage</t>
  </si>
  <si>
    <t>Fix tool to correctly show all trials outside the USA.</t>
  </si>
  <si>
    <t>Notifications &amp; Updates</t>
  </si>
  <si>
    <t>Alerts</t>
  </si>
  <si>
    <t>Notify users when watched trials have new info.</t>
  </si>
  <si>
    <t>Email/notification when trial information is updated.</t>
  </si>
  <si>
    <t>New/Updated flags</t>
  </si>
  <si>
    <t>Flag and search for newly activated trials/facilities; notify when new or updated.</t>
  </si>
  <si>
    <t>Updates/Media</t>
  </si>
  <si>
    <t>Surface updates, interviews, late-breaking info; video link (Terri) about the trial.</t>
  </si>
  <si>
    <t>Performance &amp; Compatibility</t>
  </si>
  <si>
    <t>Cross-browser</t>
  </si>
  <si>
    <t>Safari issues; works better in Chrome.</t>
  </si>
  <si>
    <t>Reference Content</t>
  </si>
  <si>
    <t>Drug education</t>
  </si>
  <si>
    <t>Link drug name to explanation; show whether itâ€™s drug/targeted/chemo/surgery.</t>
  </si>
  <si>
    <t>On detail screen, add drug info, side effects, and prior trial results.</t>
  </si>
  <si>
    <t>Education</t>
  </si>
  <si>
    <t>Provide additional information on trial phases.</t>
  </si>
  <si>
    <t>Provide links to explain drugs and treatment types.</t>
  </si>
  <si>
    <t>Definition of each trial phase.</t>
  </si>
  <si>
    <t>Evidence &amp; safety</t>
  </si>
  <si>
    <t>On trial detail, add button with scientific articles, side effects, interim results.</t>
  </si>
  <si>
    <t>Glossary</t>
  </si>
  <si>
    <t>Glossary for inclusion/exclusion (e.g., ECOG score).</t>
  </si>
  <si>
    <t>Glossary/Eligibility</t>
  </si>
  <si>
    <t>Provide RECIST definition and impact on eligibility.</t>
  </si>
  <si>
    <t>Guidelines</t>
  </si>
  <si>
    <t>Provide standard NCCN guidelines for each cancer type and trials.</t>
  </si>
  <si>
    <t>Related materials</t>
  </si>
  <si>
    <t>On the detail page, provide all related data including recordings tied to the selected trial.</t>
  </si>
  <si>
    <t>Jen Trader</t>
  </si>
  <si>
    <t>Results history</t>
  </si>
  <si>
    <t>Button to see current results or previous phases.</t>
  </si>
  <si>
    <t>Safety</t>
  </si>
  <si>
    <t>Show safety results of existing/prior trials.</t>
  </si>
  <si>
    <t>Button for known side effects or other information.</t>
  </si>
  <si>
    <t>Results Management &amp; Export</t>
  </si>
  <si>
    <t>Export</t>
  </si>
  <si>
    <t>Provide ability to print and download results.</t>
  </si>
  <si>
    <t>Export results in spreadsheet-like report (PDF or CSV).</t>
  </si>
  <si>
    <t>Export selection</t>
  </si>
  <si>
    <t>Checkbox selection for report/CSV; ability to download results.</t>
  </si>
  <si>
    <t>Generate report/spreadsheet of selected results.</t>
  </si>
  <si>
    <t>Joe Reiger</t>
  </si>
  <si>
    <t>Favorites</t>
  </si>
  <si>
    <t>Save trials as favorites; search based on favorites.</t>
  </si>
  <si>
    <t>Add checkboxes in results/search to add to favorites; allow retrieving favorites.</t>
  </si>
  <si>
    <t>Favorites/Print/Save</t>
  </si>
  <si>
    <t>Checkboxes on results to print; ability to save checked as favorites; retrieve favorites on next visit; show active search and allow saving as favorites.</t>
  </si>
  <si>
    <t>Print selection</t>
  </si>
  <si>
    <t>Select trials and print/bring to appointment.</t>
  </si>
  <si>
    <t>Share favorites</t>
  </si>
  <si>
    <t>Option to email favorites data.</t>
  </si>
  <si>
    <t>Search &amp; Filters</t>
  </si>
  <si>
    <t>Facility search</t>
  </si>
  <si>
    <t>Search by facility (e.g., Walter Reed, City of Hope).</t>
  </si>
  <si>
    <t>Histology</t>
  </si>
  <si>
    <t>Search by histology (squamous, other types).</t>
  </si>
  <si>
    <t>KRAS multi-select</t>
  </si>
  <si>
    <t>KRAS type as checkboxes for multi-select.</t>
  </si>
  <si>
    <t>Keyword/drug search</t>
  </si>
  <si>
    <t>Search by drug name or trial keyword.</t>
  </si>
  <si>
    <t>Mechanism filters</t>
  </si>
  <si>
    <t>Query by inhibitor type (e.g., SOS1, ADC).</t>
  </si>
  <si>
    <t>Multi-select</t>
  </si>
  <si>
    <t>Allow search across multiple cancer types or KRAS mutations; include sub-mutations.</t>
  </si>
  <si>
    <t>Phase filter</t>
  </si>
  <si>
    <t>Ask the user for the desired trial phase to limit results.</t>
  </si>
  <si>
    <t>Saved searches</t>
  </si>
  <si>
    <t>Allow saving search criteria for reuse and for family members.</t>
  </si>
  <si>
    <t>Stage filter</t>
  </si>
  <si>
    <t>Filter by cancer stage so only valid trials appear.</t>
  </si>
  <si>
    <t>Tagging</t>
  </si>
  <si>
    <t>Consider using tagging and multi-value tags for cancer location/type and other options.</t>
  </si>
  <si>
    <t>Therapy type filter</t>
  </si>
  <si>
    <t>Add therapy type as a search filter.</t>
  </si>
  <si>
    <t>Treatment filter</t>
  </si>
  <si>
    <t>Search by treatment type.</t>
  </si>
  <si>
    <t>Dropdown for treatment type (chemo, targeted, etc.).</t>
  </si>
  <si>
    <t>Treatment type</t>
  </si>
  <si>
    <t>Search by treatment type (targeted therapy, chemo, radiation).</t>
  </si>
  <si>
    <t>Trial name</t>
  </si>
  <si>
    <t>Search by trial name (e.g., SPARK).</t>
  </si>
  <si>
    <t>ZIP input</t>
  </si>
  <si>
    <t>Zip code search must support leading zero.</t>
  </si>
  <si>
    <t>ZIP code with leading zero must work.</t>
  </si>
  <si>
    <t>Trial Details &amp; Advanced Info</t>
  </si>
  <si>
    <t>Advanced info</t>
  </si>
  <si>
    <t>Add Advanced button for results, interviews, previous trials, other info.</t>
  </si>
  <si>
    <t>Advanced information button to view results and additional trial info.</t>
  </si>
  <si>
    <t>Arms breakdown</t>
  </si>
  <si>
    <t>In inclusion criteria, add a button to break out arms/options of the trial (advanced info).</t>
  </si>
  <si>
    <t>Button on inclusion/exclusion to break down trial arms and options per arm.</t>
  </si>
  <si>
    <t>Arms/details</t>
  </si>
  <si>
    <t>Create 'Advanced information' button with detailed trial info including arms.</t>
  </si>
  <si>
    <t>Cohorts</t>
  </si>
  <si>
    <t>Break down cohort.</t>
  </si>
  <si>
    <t>Eligibility details</t>
  </si>
  <si>
    <t>Advanced details to assess availability and eligibility by cancer type and subtype.</t>
  </si>
  <si>
    <t>Inclusion/exclusion details</t>
  </si>
  <si>
    <t>Add 'Additional information' button next to inclusion/exclusion.</t>
  </si>
  <si>
    <t>Trial Metadata &amp; Flags</t>
  </si>
  <si>
    <t>Dates/Enrollment</t>
  </si>
  <si>
    <t>Provide trial open date, proposed closing date, and participant count.</t>
  </si>
  <si>
    <t>Dates/Status</t>
  </si>
  <si>
    <t>Include last update and proposed end date.</t>
  </si>
  <si>
    <t>Include start date, proposed end date, and last update date.</t>
  </si>
  <si>
    <t>Include last update and proposed end date on trial records.</t>
  </si>
  <si>
    <t>Line of therapy</t>
  </si>
  <si>
    <t>Flag whether the trial is first-line or secondary line; enable search by line of therapy.</t>
  </si>
  <si>
    <t>Stage badge</t>
  </si>
  <si>
    <t>Flag stage of cancer the trial suits.</t>
  </si>
  <si>
    <t>Stage badge/Search summary</t>
  </si>
  <si>
    <t>Flag on results showing which stage is accepted; show a summary of what was searched.</t>
  </si>
  <si>
    <t>Therapy icons</t>
  </si>
  <si>
    <t>Icons to highlight different treatment types.</t>
  </si>
  <si>
    <t>Therapy type badge</t>
  </si>
  <si>
    <t>Add therapy type as a visual flag or color.</t>
  </si>
  <si>
    <t>Flag/color for type of treatment (chemo vs targeted).</t>
  </si>
  <si>
    <t>Persistent filters</t>
  </si>
  <si>
    <t>Show current search criteria on other tabs.</t>
  </si>
  <si>
    <t>Selection clarity</t>
  </si>
  <si>
    <t>Note that 'All' includes G12D etc.; selecting G12D does not include 'All'.</t>
  </si>
  <si>
    <t>State reset</t>
  </si>
  <si>
    <t>Clear the trial number indicator when returning to results to avoid confusion.</t>
  </si>
  <si>
    <t>State sync</t>
  </si>
  <si>
    <t>Refresh Trial Details when entering Results.</t>
  </si>
  <si>
    <t>Labeling</t>
  </si>
  <si>
    <t>Make 'Personalize my search' easier to find/understand.</t>
  </si>
  <si>
    <t>Rename button to 'Personalize my search'.</t>
  </si>
  <si>
    <t>Clarify that the 'Search' button refines/filters.</t>
  </si>
  <si>
    <t>Modality</t>
  </si>
  <si>
    <t>Make modal window movable (drag to side).</t>
  </si>
  <si>
    <t>Visual affordance</t>
  </si>
  <si>
    <t>Add a magnifying glass icon to the search button.</t>
  </si>
  <si>
    <t>Information hierarchy</t>
  </si>
  <si>
    <t>Move phase of trial near title on detail screen.</t>
  </si>
  <si>
    <t>Simplify tabs</t>
  </si>
  <si>
    <t>Remove charts tab (not needed).</t>
  </si>
  <si>
    <t>Sticky header</t>
  </si>
  <si>
    <t>Lock blue bar on scroll.</t>
  </si>
  <si>
    <t>Back navigation</t>
  </si>
  <si>
    <t>Back navigation confusing; allow back button or clearer options.</t>
  </si>
  <si>
    <t>Fix back button; add in-app way to return to previous screen or results.</t>
  </si>
  <si>
    <t>State persistence</t>
  </si>
  <si>
    <t>Active trial context is lost when switching tabs; persist selection.</t>
  </si>
  <si>
    <t>Tab order</t>
  </si>
  <si>
    <t>Reorder tabs to: Results, Trial Details, Location, then Map.</t>
  </si>
  <si>
    <t>Terminology</t>
  </si>
  <si>
    <t>Change title to 'KRAS Type'.</t>
  </si>
  <si>
    <t>Change 'Tumor' title to 'Main/Primary tumor type'.</t>
  </si>
  <si>
    <t>Use 'Primary tumor location' instead of 'cancer type' in search title.</t>
  </si>
  <si>
    <t>Rename 'Tumor location' to 'Primary cancer location'.</t>
  </si>
  <si>
    <t>Table readability</t>
  </si>
  <si>
    <t>Add light vertical lines separating columns.</t>
  </si>
  <si>
    <t>UI/UX  Visual Design</t>
  </si>
  <si>
    <t>UI/UX  Terminology</t>
  </si>
  <si>
    <t>UI/UX Navigation</t>
  </si>
  <si>
    <t>UI/UX  Layout</t>
  </si>
  <si>
    <t>UI/UX Controls</t>
  </si>
  <si>
    <t>UI/UX Context</t>
  </si>
  <si>
    <t xml:space="preserve">Final Priority </t>
  </si>
  <si>
    <t>Final Group</t>
  </si>
  <si>
    <t>Search</t>
  </si>
  <si>
    <t>Facilities&amp;Contacts</t>
  </si>
  <si>
    <t>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</si>
</sst>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1F1F1F"/>
      <name val="Arial"/>
      <family val="2"/>
    </font>
    <font>
      <sz val="10"/>
      <color rgb="FF4C414E"/>
      <name val="Arial"/>
      <family val="2"/>
    </font>
    <font>
      <sz val="12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8" borderId="0" xfId="0" applyFill="1" applyAlignment="1">
      <alignment wrapText="1"/>
    </xf>
    <xf numFmtId="9" fontId="0" fillId="8" borderId="0" xfId="0" applyNumberFormat="1" applyFill="1"/>
    <xf numFmtId="0" fontId="1" fillId="6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9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3D32-1895-4F8C-BC61-00DA14BFAC26}">
  <dimension ref="A1:AB35"/>
  <sheetViews>
    <sheetView topLeftCell="A2" workbookViewId="0">
      <pane ySplit="1" topLeftCell="A12" activePane="bottomLeft" state="frozen"/>
      <selection activeCell="A2" sqref="A2"/>
      <selection pane="bottomLeft" activeCell="L16" sqref="L16"/>
    </sheetView>
  </sheetViews>
  <sheetFormatPr defaultRowHeight="14.4" x14ac:dyDescent="0.3"/>
  <cols>
    <col min="1" max="1" width="11.6640625" customWidth="1"/>
    <col min="2" max="2" width="9.33203125" customWidth="1"/>
    <col min="3" max="3" width="7.21875" customWidth="1"/>
    <col min="4" max="4" width="6.109375" customWidth="1"/>
    <col min="5" max="5" width="8.88671875" customWidth="1"/>
    <col min="6" max="6" width="7.109375" customWidth="1"/>
    <col min="7" max="7" width="6.21875" customWidth="1"/>
    <col min="8" max="8" width="9.5546875" customWidth="1"/>
    <col min="9" max="9" width="15.109375" customWidth="1"/>
    <col min="10" max="10" width="6.6640625" customWidth="1"/>
    <col min="12" max="12" width="8.33203125" customWidth="1"/>
    <col min="13" max="13" width="6.6640625" customWidth="1"/>
    <col min="15" max="15" width="11.109375" customWidth="1"/>
    <col min="16" max="16" width="18" hidden="1" customWidth="1"/>
    <col min="17" max="17" width="9.33203125" bestFit="1" customWidth="1"/>
    <col min="18" max="18" width="44.5546875" style="9" customWidth="1"/>
    <col min="19" max="19" width="11.21875" customWidth="1"/>
    <col min="20" max="20" width="12.6640625" bestFit="1" customWidth="1"/>
    <col min="23" max="23" width="11.109375" customWidth="1"/>
    <col min="24" max="24" width="10.77734375" bestFit="1" customWidth="1"/>
    <col min="26" max="26" width="12.88671875" customWidth="1"/>
    <col min="27" max="27" width="11.5546875" customWidth="1"/>
    <col min="28" max="28" width="17.77734375" bestFit="1" customWidth="1"/>
  </cols>
  <sheetData>
    <row r="1" spans="1:28" ht="31.8" hidden="1" customHeight="1" x14ac:dyDescent="0.3">
      <c r="B1" s="19" t="s">
        <v>6</v>
      </c>
      <c r="C1" s="20"/>
      <c r="D1" s="20"/>
      <c r="E1" s="21" t="s">
        <v>5</v>
      </c>
      <c r="F1" s="22"/>
      <c r="G1" s="22"/>
      <c r="H1" s="23" t="s">
        <v>9</v>
      </c>
      <c r="I1" s="24"/>
      <c r="J1" s="24"/>
      <c r="K1" s="25" t="s">
        <v>8</v>
      </c>
      <c r="L1" s="26"/>
      <c r="M1" s="26"/>
      <c r="N1" s="2"/>
      <c r="O1" s="2"/>
      <c r="P1" s="1"/>
    </row>
    <row r="2" spans="1:28" ht="31.8" customHeight="1" x14ac:dyDescent="0.3">
      <c r="A2" t="s">
        <v>0</v>
      </c>
      <c r="B2" s="4" t="s">
        <v>88</v>
      </c>
      <c r="C2" s="4" t="s">
        <v>2</v>
      </c>
      <c r="D2" s="4" t="s">
        <v>7</v>
      </c>
      <c r="E2" s="5" t="s">
        <v>1</v>
      </c>
      <c r="F2" s="5" t="s">
        <v>2</v>
      </c>
      <c r="G2" s="5" t="s">
        <v>7</v>
      </c>
      <c r="H2" s="6" t="s">
        <v>1</v>
      </c>
      <c r="I2" s="6" t="s">
        <v>2</v>
      </c>
      <c r="J2" s="6" t="s">
        <v>7</v>
      </c>
      <c r="K2" s="7" t="s">
        <v>1</v>
      </c>
      <c r="L2" s="7" t="s">
        <v>2</v>
      </c>
      <c r="M2" s="7" t="s">
        <v>7</v>
      </c>
      <c r="N2" s="2" t="s">
        <v>7</v>
      </c>
      <c r="O2" s="2" t="s">
        <v>10</v>
      </c>
      <c r="P2" s="13" t="s">
        <v>30</v>
      </c>
      <c r="Q2" s="2" t="s">
        <v>66</v>
      </c>
      <c r="R2" s="10" t="s">
        <v>67</v>
      </c>
      <c r="S2" s="2" t="s">
        <v>104</v>
      </c>
      <c r="T2" s="2" t="s">
        <v>105</v>
      </c>
      <c r="U2" s="2" t="s">
        <v>106</v>
      </c>
      <c r="V2" s="2" t="s">
        <v>151</v>
      </c>
      <c r="W2" s="10" t="s">
        <v>107</v>
      </c>
      <c r="X2" s="10" t="s">
        <v>108</v>
      </c>
      <c r="Y2" s="10" t="s">
        <v>109</v>
      </c>
      <c r="Z2" s="10" t="s">
        <v>110</v>
      </c>
      <c r="AA2" s="10" t="s">
        <v>111</v>
      </c>
      <c r="AB2" s="10" t="s">
        <v>112</v>
      </c>
    </row>
    <row r="3" spans="1:28" x14ac:dyDescent="0.3">
      <c r="A3" t="s">
        <v>4</v>
      </c>
      <c r="B3">
        <v>62</v>
      </c>
      <c r="C3" t="s">
        <v>3</v>
      </c>
      <c r="D3">
        <v>7</v>
      </c>
      <c r="E3">
        <v>54</v>
      </c>
      <c r="F3" t="s">
        <v>3</v>
      </c>
      <c r="G3">
        <v>7</v>
      </c>
      <c r="H3">
        <v>106</v>
      </c>
      <c r="I3" t="s">
        <v>3</v>
      </c>
      <c r="J3">
        <v>7</v>
      </c>
      <c r="K3">
        <v>46</v>
      </c>
      <c r="L3" t="s">
        <v>3</v>
      </c>
      <c r="M3">
        <v>7</v>
      </c>
      <c r="N3">
        <v>7</v>
      </c>
      <c r="O3">
        <f t="shared" ref="O3:O32" si="0">(((D3-1)+(G3-1)+(J3-1)+(M3-1)+(N3-1))*(4/6))*5</f>
        <v>100</v>
      </c>
      <c r="P3" t="s">
        <v>13</v>
      </c>
      <c r="Q3" s="3">
        <v>45868</v>
      </c>
      <c r="R3" s="9" t="s">
        <v>69</v>
      </c>
      <c r="S3" t="s">
        <v>113</v>
      </c>
      <c r="T3" t="s">
        <v>114</v>
      </c>
      <c r="U3" t="s">
        <v>115</v>
      </c>
      <c r="V3" t="s">
        <v>153</v>
      </c>
      <c r="W3" t="s">
        <v>116</v>
      </c>
      <c r="X3" t="s">
        <v>117</v>
      </c>
      <c r="Y3" t="s">
        <v>117</v>
      </c>
      <c r="Z3" t="s">
        <v>118</v>
      </c>
      <c r="AA3" t="s">
        <v>119</v>
      </c>
      <c r="AB3" t="s">
        <v>120</v>
      </c>
    </row>
    <row r="4" spans="1:28" ht="43.2" x14ac:dyDescent="0.3">
      <c r="A4" t="s">
        <v>11</v>
      </c>
      <c r="B4">
        <v>78</v>
      </c>
      <c r="C4" t="s">
        <v>3</v>
      </c>
      <c r="D4">
        <v>7</v>
      </c>
      <c r="E4">
        <v>62</v>
      </c>
      <c r="F4" t="s">
        <v>3</v>
      </c>
      <c r="G4">
        <v>7</v>
      </c>
      <c r="H4">
        <v>72</v>
      </c>
      <c r="I4" t="s">
        <v>3</v>
      </c>
      <c r="J4">
        <v>7</v>
      </c>
      <c r="K4">
        <v>52</v>
      </c>
      <c r="L4" t="s">
        <v>3</v>
      </c>
      <c r="M4">
        <v>7</v>
      </c>
      <c r="N4">
        <v>7</v>
      </c>
      <c r="O4">
        <f t="shared" si="0"/>
        <v>100</v>
      </c>
      <c r="P4" t="s">
        <v>14</v>
      </c>
      <c r="Q4" s="3">
        <v>45869</v>
      </c>
      <c r="R4" s="9" t="s">
        <v>68</v>
      </c>
      <c r="S4" t="s">
        <v>113</v>
      </c>
      <c r="T4" t="s">
        <v>121</v>
      </c>
      <c r="U4" t="s">
        <v>115</v>
      </c>
      <c r="V4" t="s">
        <v>153</v>
      </c>
      <c r="W4" t="s">
        <v>125</v>
      </c>
      <c r="X4" t="s">
        <v>126</v>
      </c>
      <c r="Y4" t="s">
        <v>128</v>
      </c>
      <c r="Z4" t="s">
        <v>130</v>
      </c>
      <c r="AA4" t="s">
        <v>3</v>
      </c>
      <c r="AB4" t="s">
        <v>131</v>
      </c>
    </row>
    <row r="5" spans="1:28" x14ac:dyDescent="0.3">
      <c r="A5" t="s">
        <v>12</v>
      </c>
      <c r="B5">
        <v>125</v>
      </c>
      <c r="C5" t="s">
        <v>3</v>
      </c>
      <c r="D5">
        <v>6</v>
      </c>
      <c r="E5">
        <v>118</v>
      </c>
      <c r="F5" t="s">
        <v>3</v>
      </c>
      <c r="G5">
        <v>6</v>
      </c>
      <c r="H5">
        <v>174</v>
      </c>
      <c r="I5" t="s">
        <v>90</v>
      </c>
      <c r="J5">
        <v>7</v>
      </c>
      <c r="K5">
        <v>80</v>
      </c>
      <c r="L5" t="s">
        <v>3</v>
      </c>
      <c r="M5">
        <v>5</v>
      </c>
      <c r="N5">
        <v>7</v>
      </c>
      <c r="O5">
        <f t="shared" si="0"/>
        <v>86.666666666666657</v>
      </c>
      <c r="P5" t="s">
        <v>15</v>
      </c>
      <c r="Q5" s="3">
        <v>45869</v>
      </c>
      <c r="R5" s="9" t="s">
        <v>70</v>
      </c>
      <c r="S5" t="s">
        <v>113</v>
      </c>
      <c r="T5" t="s">
        <v>122</v>
      </c>
      <c r="U5" t="s">
        <v>124</v>
      </c>
      <c r="V5" t="s">
        <v>153</v>
      </c>
      <c r="W5" t="s">
        <v>136</v>
      </c>
      <c r="X5" t="s">
        <v>127</v>
      </c>
      <c r="Y5" t="s">
        <v>128</v>
      </c>
      <c r="Z5" t="s">
        <v>130</v>
      </c>
      <c r="AA5" t="s">
        <v>3</v>
      </c>
      <c r="AB5" t="s">
        <v>132</v>
      </c>
    </row>
    <row r="6" spans="1:28" x14ac:dyDescent="0.3">
      <c r="A6" t="s">
        <v>17</v>
      </c>
      <c r="B6">
        <v>50</v>
      </c>
      <c r="C6" t="s">
        <v>3</v>
      </c>
      <c r="D6">
        <v>6</v>
      </c>
      <c r="E6">
        <v>41</v>
      </c>
      <c r="F6" t="s">
        <v>3</v>
      </c>
      <c r="G6">
        <v>6</v>
      </c>
      <c r="H6">
        <v>58</v>
      </c>
      <c r="I6" t="s">
        <v>3</v>
      </c>
      <c r="J6">
        <v>6</v>
      </c>
      <c r="K6">
        <v>34</v>
      </c>
      <c r="L6" t="s">
        <v>3</v>
      </c>
      <c r="M6">
        <v>6</v>
      </c>
      <c r="N6">
        <v>6</v>
      </c>
      <c r="O6">
        <f t="shared" si="0"/>
        <v>83.333333333333314</v>
      </c>
      <c r="P6" t="s">
        <v>16</v>
      </c>
      <c r="Q6" s="3">
        <v>45869</v>
      </c>
      <c r="R6" s="9" t="s">
        <v>71</v>
      </c>
      <c r="S6" t="s">
        <v>113</v>
      </c>
      <c r="T6" t="s">
        <v>123</v>
      </c>
      <c r="U6" t="s">
        <v>115</v>
      </c>
      <c r="V6" t="s">
        <v>153</v>
      </c>
      <c r="W6" t="s">
        <v>125</v>
      </c>
      <c r="X6" t="s">
        <v>126</v>
      </c>
      <c r="Y6" t="s">
        <v>129</v>
      </c>
      <c r="Z6" t="s">
        <v>130</v>
      </c>
      <c r="AA6" t="s">
        <v>119</v>
      </c>
      <c r="AB6" t="s">
        <v>133</v>
      </c>
    </row>
    <row r="7" spans="1:28" ht="28.8" x14ac:dyDescent="0.3">
      <c r="A7" t="s">
        <v>18</v>
      </c>
      <c r="B7">
        <v>27</v>
      </c>
      <c r="C7" t="s">
        <v>3</v>
      </c>
      <c r="D7">
        <v>6</v>
      </c>
      <c r="E7">
        <v>34</v>
      </c>
      <c r="F7" t="s">
        <v>3</v>
      </c>
      <c r="G7">
        <v>7</v>
      </c>
      <c r="H7">
        <v>42</v>
      </c>
      <c r="I7" t="s">
        <v>3</v>
      </c>
      <c r="J7">
        <v>6</v>
      </c>
      <c r="K7">
        <v>24</v>
      </c>
      <c r="L7" t="s">
        <v>3</v>
      </c>
      <c r="M7">
        <v>7</v>
      </c>
      <c r="N7">
        <v>7</v>
      </c>
      <c r="O7">
        <f t="shared" si="0"/>
        <v>93.333333333333314</v>
      </c>
      <c r="P7" t="s">
        <v>19</v>
      </c>
      <c r="Q7" s="3">
        <v>45870</v>
      </c>
      <c r="R7" s="9" t="s">
        <v>72</v>
      </c>
      <c r="S7" t="s">
        <v>113</v>
      </c>
      <c r="T7" t="s">
        <v>134</v>
      </c>
      <c r="U7" t="s">
        <v>115</v>
      </c>
      <c r="V7" t="s">
        <v>152</v>
      </c>
      <c r="W7" s="9" t="s">
        <v>135</v>
      </c>
      <c r="X7" t="s">
        <v>117</v>
      </c>
      <c r="Y7" t="s">
        <v>117</v>
      </c>
      <c r="Z7" t="s">
        <v>130</v>
      </c>
      <c r="AA7" t="s">
        <v>119</v>
      </c>
      <c r="AB7" t="s">
        <v>133</v>
      </c>
    </row>
    <row r="8" spans="1:28" x14ac:dyDescent="0.3">
      <c r="A8" t="s">
        <v>20</v>
      </c>
      <c r="B8">
        <v>49</v>
      </c>
      <c r="C8" t="s">
        <v>3</v>
      </c>
      <c r="D8">
        <v>7</v>
      </c>
      <c r="E8">
        <v>45</v>
      </c>
      <c r="F8" t="s">
        <v>3</v>
      </c>
      <c r="G8">
        <v>7</v>
      </c>
      <c r="H8">
        <v>118</v>
      </c>
      <c r="I8" t="s">
        <v>3</v>
      </c>
      <c r="J8">
        <v>6</v>
      </c>
      <c r="K8">
        <v>43</v>
      </c>
      <c r="L8" t="s">
        <v>3</v>
      </c>
      <c r="M8">
        <v>6</v>
      </c>
      <c r="N8">
        <v>7</v>
      </c>
      <c r="O8">
        <f t="shared" si="0"/>
        <v>93.333333333333314</v>
      </c>
      <c r="P8" t="s">
        <v>21</v>
      </c>
      <c r="Q8" s="3">
        <v>45870</v>
      </c>
      <c r="R8" t="s">
        <v>73</v>
      </c>
      <c r="S8" t="s">
        <v>113</v>
      </c>
      <c r="T8" t="s">
        <v>140</v>
      </c>
      <c r="U8" t="s">
        <v>115</v>
      </c>
      <c r="V8" t="s">
        <v>156</v>
      </c>
      <c r="W8" t="s">
        <v>125</v>
      </c>
      <c r="X8" t="s">
        <v>157</v>
      </c>
      <c r="Y8" t="s">
        <v>128</v>
      </c>
      <c r="Z8" t="s">
        <v>138</v>
      </c>
      <c r="AA8" t="s">
        <v>143</v>
      </c>
      <c r="AB8" t="s">
        <v>120</v>
      </c>
    </row>
    <row r="9" spans="1:28" x14ac:dyDescent="0.3">
      <c r="A9" t="s">
        <v>22</v>
      </c>
      <c r="B9">
        <v>112</v>
      </c>
      <c r="C9" t="s">
        <v>3</v>
      </c>
      <c r="D9">
        <v>7</v>
      </c>
      <c r="E9">
        <v>89</v>
      </c>
      <c r="F9" t="s">
        <v>3</v>
      </c>
      <c r="G9">
        <v>6</v>
      </c>
      <c r="H9">
        <v>130</v>
      </c>
      <c r="I9" t="s">
        <v>90</v>
      </c>
      <c r="J9">
        <v>7</v>
      </c>
      <c r="K9">
        <v>61</v>
      </c>
      <c r="L9" t="s">
        <v>3</v>
      </c>
      <c r="M9">
        <v>6</v>
      </c>
      <c r="N9">
        <v>7</v>
      </c>
      <c r="O9">
        <f t="shared" si="0"/>
        <v>93.333333333333314</v>
      </c>
      <c r="P9" t="s">
        <v>23</v>
      </c>
      <c r="Q9" s="3">
        <v>45870</v>
      </c>
      <c r="R9" t="s">
        <v>74</v>
      </c>
      <c r="S9" t="s">
        <v>113</v>
      </c>
      <c r="T9" t="s">
        <v>145</v>
      </c>
      <c r="U9" t="s">
        <v>124</v>
      </c>
      <c r="V9" t="s">
        <v>154</v>
      </c>
      <c r="W9" t="s">
        <v>125</v>
      </c>
      <c r="X9" t="s">
        <v>126</v>
      </c>
      <c r="Y9" t="s">
        <v>129</v>
      </c>
      <c r="Z9" t="s">
        <v>138</v>
      </c>
      <c r="AA9" t="s">
        <v>3</v>
      </c>
      <c r="AB9" t="s">
        <v>133</v>
      </c>
    </row>
    <row r="10" spans="1:28" x14ac:dyDescent="0.3">
      <c r="A10" t="s">
        <v>27</v>
      </c>
      <c r="B10">
        <v>32</v>
      </c>
      <c r="C10" t="s">
        <v>3</v>
      </c>
      <c r="D10">
        <v>5</v>
      </c>
      <c r="E10">
        <v>36</v>
      </c>
      <c r="F10" t="s">
        <v>3</v>
      </c>
      <c r="G10">
        <v>5</v>
      </c>
      <c r="H10">
        <v>66</v>
      </c>
      <c r="I10" t="s">
        <v>3</v>
      </c>
      <c r="J10">
        <v>5</v>
      </c>
      <c r="K10">
        <v>51</v>
      </c>
      <c r="L10" t="s">
        <v>3</v>
      </c>
      <c r="M10">
        <v>5</v>
      </c>
      <c r="N10">
        <v>6</v>
      </c>
      <c r="O10">
        <f t="shared" si="0"/>
        <v>70</v>
      </c>
      <c r="P10" t="s">
        <v>24</v>
      </c>
      <c r="Q10" s="3">
        <v>45870</v>
      </c>
      <c r="R10" s="9" t="s">
        <v>76</v>
      </c>
      <c r="S10" t="s">
        <v>113</v>
      </c>
      <c r="T10" t="s">
        <v>140</v>
      </c>
      <c r="U10" t="s">
        <v>124</v>
      </c>
      <c r="V10" t="s">
        <v>155</v>
      </c>
      <c r="W10" t="s">
        <v>136</v>
      </c>
      <c r="X10" t="s">
        <v>137</v>
      </c>
      <c r="Y10" t="s">
        <v>129</v>
      </c>
      <c r="Z10" t="s">
        <v>118</v>
      </c>
      <c r="AA10" t="s">
        <v>3</v>
      </c>
      <c r="AB10" t="s">
        <v>139</v>
      </c>
    </row>
    <row r="11" spans="1:28" x14ac:dyDescent="0.3">
      <c r="A11" t="s">
        <v>28</v>
      </c>
      <c r="B11">
        <v>68</v>
      </c>
      <c r="C11" t="s">
        <v>3</v>
      </c>
      <c r="D11">
        <v>7</v>
      </c>
      <c r="E11">
        <v>64</v>
      </c>
      <c r="F11" t="s">
        <v>3</v>
      </c>
      <c r="G11">
        <v>7</v>
      </c>
      <c r="H11">
        <v>101</v>
      </c>
      <c r="I11" t="s">
        <v>3</v>
      </c>
      <c r="J11">
        <v>6</v>
      </c>
      <c r="K11">
        <v>48</v>
      </c>
      <c r="L11" t="s">
        <v>3</v>
      </c>
      <c r="M11">
        <v>6</v>
      </c>
      <c r="N11">
        <v>7</v>
      </c>
      <c r="O11">
        <f t="shared" si="0"/>
        <v>93.333333333333314</v>
      </c>
      <c r="P11" t="s">
        <v>25</v>
      </c>
      <c r="Q11" s="3">
        <v>45870</v>
      </c>
      <c r="R11" t="s">
        <v>75</v>
      </c>
      <c r="S11" t="s">
        <v>113</v>
      </c>
      <c r="T11" t="s">
        <v>121</v>
      </c>
      <c r="U11" t="s">
        <v>115</v>
      </c>
      <c r="V11" t="s">
        <v>153</v>
      </c>
      <c r="W11" t="s">
        <v>125</v>
      </c>
      <c r="X11" t="s">
        <v>126</v>
      </c>
      <c r="Y11" t="s">
        <v>141</v>
      </c>
      <c r="Z11" t="s">
        <v>118</v>
      </c>
      <c r="AA11" t="s">
        <v>119</v>
      </c>
      <c r="AB11" t="s">
        <v>142</v>
      </c>
    </row>
    <row r="12" spans="1:28" x14ac:dyDescent="0.3">
      <c r="A12" t="s">
        <v>29</v>
      </c>
      <c r="B12">
        <v>38</v>
      </c>
      <c r="C12" t="s">
        <v>3</v>
      </c>
      <c r="D12">
        <v>4</v>
      </c>
      <c r="E12">
        <v>66</v>
      </c>
      <c r="F12" t="s">
        <v>3</v>
      </c>
      <c r="G12">
        <v>3</v>
      </c>
      <c r="H12">
        <v>97</v>
      </c>
      <c r="I12" t="s">
        <v>3</v>
      </c>
      <c r="J12">
        <v>4</v>
      </c>
      <c r="K12">
        <v>67</v>
      </c>
      <c r="L12" t="s">
        <v>3</v>
      </c>
      <c r="M12">
        <v>5</v>
      </c>
      <c r="N12">
        <v>5</v>
      </c>
      <c r="O12">
        <f t="shared" si="0"/>
        <v>53.333333333333329</v>
      </c>
      <c r="P12" t="s">
        <v>26</v>
      </c>
      <c r="Q12" s="3">
        <v>45870</v>
      </c>
      <c r="R12" t="s">
        <v>77</v>
      </c>
      <c r="S12" t="s">
        <v>113</v>
      </c>
      <c r="T12" t="s">
        <v>140</v>
      </c>
      <c r="U12" t="s">
        <v>124</v>
      </c>
      <c r="V12" t="s">
        <v>156</v>
      </c>
      <c r="W12" t="s">
        <v>136</v>
      </c>
      <c r="X12" t="s">
        <v>126</v>
      </c>
      <c r="Y12" t="s">
        <v>128</v>
      </c>
      <c r="Z12" t="s">
        <v>130</v>
      </c>
      <c r="AA12" t="s">
        <v>119</v>
      </c>
      <c r="AB12" t="s">
        <v>133</v>
      </c>
    </row>
    <row r="13" spans="1:28" x14ac:dyDescent="0.3">
      <c r="A13" t="s">
        <v>45</v>
      </c>
      <c r="B13">
        <v>118</v>
      </c>
      <c r="C13" t="s">
        <v>3</v>
      </c>
      <c r="D13">
        <v>7</v>
      </c>
      <c r="E13">
        <v>109</v>
      </c>
      <c r="F13" t="s">
        <v>3</v>
      </c>
      <c r="G13">
        <v>7</v>
      </c>
      <c r="H13">
        <v>155</v>
      </c>
      <c r="I13" t="s">
        <v>90</v>
      </c>
      <c r="J13">
        <v>7</v>
      </c>
      <c r="K13">
        <v>55</v>
      </c>
      <c r="L13" t="s">
        <v>3</v>
      </c>
      <c r="M13">
        <v>7</v>
      </c>
      <c r="N13">
        <v>7</v>
      </c>
      <c r="O13">
        <f t="shared" si="0"/>
        <v>100</v>
      </c>
      <c r="P13" t="s">
        <v>31</v>
      </c>
      <c r="Q13" s="3">
        <v>45871</v>
      </c>
      <c r="R13" t="s">
        <v>78</v>
      </c>
      <c r="S13" t="s">
        <v>113</v>
      </c>
      <c r="T13" t="s">
        <v>123</v>
      </c>
      <c r="U13" t="s">
        <v>115</v>
      </c>
      <c r="V13" t="s">
        <v>154</v>
      </c>
      <c r="W13" t="s">
        <v>125</v>
      </c>
      <c r="X13" t="s">
        <v>126</v>
      </c>
      <c r="Y13" t="s">
        <v>128</v>
      </c>
      <c r="Z13" t="s">
        <v>118</v>
      </c>
      <c r="AA13" t="s">
        <v>119</v>
      </c>
      <c r="AB13" t="s">
        <v>133</v>
      </c>
    </row>
    <row r="14" spans="1:28" x14ac:dyDescent="0.3">
      <c r="A14" t="s">
        <v>46</v>
      </c>
      <c r="B14">
        <v>56</v>
      </c>
      <c r="C14" t="s">
        <v>3</v>
      </c>
      <c r="D14">
        <v>7</v>
      </c>
      <c r="E14">
        <v>42</v>
      </c>
      <c r="F14" t="s">
        <v>3</v>
      </c>
      <c r="G14">
        <v>7</v>
      </c>
      <c r="H14">
        <v>45</v>
      </c>
      <c r="I14" t="s">
        <v>3</v>
      </c>
      <c r="J14">
        <v>7</v>
      </c>
      <c r="K14">
        <v>31</v>
      </c>
      <c r="L14" t="s">
        <v>3</v>
      </c>
      <c r="M14">
        <v>6</v>
      </c>
      <c r="N14">
        <v>7</v>
      </c>
      <c r="O14">
        <f t="shared" si="0"/>
        <v>96.666666666666657</v>
      </c>
      <c r="P14" t="s">
        <v>32</v>
      </c>
      <c r="Q14" s="3">
        <v>45871</v>
      </c>
      <c r="R14" t="s">
        <v>79</v>
      </c>
      <c r="S14" t="s">
        <v>144</v>
      </c>
      <c r="U14" t="s">
        <v>124</v>
      </c>
      <c r="V14" t="s">
        <v>156</v>
      </c>
      <c r="W14" t="s">
        <v>136</v>
      </c>
      <c r="X14" t="s">
        <v>126</v>
      </c>
      <c r="Y14" t="s">
        <v>159</v>
      </c>
      <c r="Z14" t="s">
        <v>118</v>
      </c>
      <c r="AA14" t="s">
        <v>158</v>
      </c>
      <c r="AB14" t="s">
        <v>133</v>
      </c>
    </row>
    <row r="15" spans="1:28" x14ac:dyDescent="0.3">
      <c r="A15" t="s">
        <v>47</v>
      </c>
      <c r="B15">
        <v>101</v>
      </c>
      <c r="C15" t="s">
        <v>3</v>
      </c>
      <c r="D15">
        <v>7</v>
      </c>
      <c r="E15">
        <v>45</v>
      </c>
      <c r="F15" t="s">
        <v>3</v>
      </c>
      <c r="G15">
        <v>7</v>
      </c>
      <c r="H15">
        <v>112</v>
      </c>
      <c r="I15" t="s">
        <v>3</v>
      </c>
      <c r="J15">
        <v>7</v>
      </c>
      <c r="K15">
        <v>54</v>
      </c>
      <c r="L15" t="s">
        <v>3</v>
      </c>
      <c r="M15">
        <v>7</v>
      </c>
      <c r="N15">
        <v>7</v>
      </c>
      <c r="O15">
        <f t="shared" si="0"/>
        <v>100</v>
      </c>
      <c r="P15" t="s">
        <v>33</v>
      </c>
      <c r="Q15" s="3">
        <v>45872</v>
      </c>
      <c r="R15" t="s">
        <v>80</v>
      </c>
      <c r="S15" t="s">
        <v>113</v>
      </c>
      <c r="T15" t="s">
        <v>149</v>
      </c>
      <c r="U15" t="s">
        <v>115</v>
      </c>
      <c r="V15" t="s">
        <v>153</v>
      </c>
      <c r="W15" t="s">
        <v>125</v>
      </c>
      <c r="X15" t="s">
        <v>126</v>
      </c>
      <c r="Y15" t="s">
        <v>141</v>
      </c>
      <c r="Z15" t="s">
        <v>118</v>
      </c>
      <c r="AA15" t="s">
        <v>143</v>
      </c>
      <c r="AB15" t="s">
        <v>133</v>
      </c>
    </row>
    <row r="16" spans="1:28" x14ac:dyDescent="0.3">
      <c r="A16" t="s">
        <v>48</v>
      </c>
      <c r="B16">
        <v>67</v>
      </c>
      <c r="C16" t="s">
        <v>3</v>
      </c>
      <c r="D16">
        <v>5</v>
      </c>
      <c r="E16">
        <v>55</v>
      </c>
      <c r="F16" t="s">
        <v>3</v>
      </c>
      <c r="G16">
        <v>6</v>
      </c>
      <c r="H16">
        <v>124</v>
      </c>
      <c r="I16" t="s">
        <v>3</v>
      </c>
      <c r="J16">
        <v>6</v>
      </c>
      <c r="K16">
        <v>48</v>
      </c>
      <c r="L16" t="s">
        <v>3</v>
      </c>
      <c r="M16">
        <v>7</v>
      </c>
      <c r="N16">
        <v>6</v>
      </c>
      <c r="O16">
        <f t="shared" si="0"/>
        <v>83.333333333333314</v>
      </c>
      <c r="P16" t="s">
        <v>34</v>
      </c>
      <c r="Q16" s="3">
        <v>45872</v>
      </c>
      <c r="R16" t="s">
        <v>81</v>
      </c>
      <c r="S16" t="s">
        <v>113</v>
      </c>
      <c r="T16" t="s">
        <v>140</v>
      </c>
      <c r="U16" t="s">
        <v>115</v>
      </c>
      <c r="V16" t="s">
        <v>153</v>
      </c>
      <c r="W16" t="s">
        <v>125</v>
      </c>
      <c r="X16" t="s">
        <v>157</v>
      </c>
      <c r="Y16" t="s">
        <v>128</v>
      </c>
      <c r="Z16" t="s">
        <v>118</v>
      </c>
      <c r="AA16" t="s">
        <v>3</v>
      </c>
      <c r="AB16" t="s">
        <v>120</v>
      </c>
    </row>
    <row r="17" spans="1:28" ht="15.6" x14ac:dyDescent="0.3">
      <c r="A17" t="s">
        <v>49</v>
      </c>
      <c r="B17">
        <v>107</v>
      </c>
      <c r="C17" t="s">
        <v>3</v>
      </c>
      <c r="D17">
        <v>7</v>
      </c>
      <c r="E17">
        <v>110</v>
      </c>
      <c r="F17" t="s">
        <v>3</v>
      </c>
      <c r="G17">
        <v>6</v>
      </c>
      <c r="H17">
        <v>103</v>
      </c>
      <c r="I17" t="s">
        <v>3</v>
      </c>
      <c r="J17">
        <v>6</v>
      </c>
      <c r="K17">
        <v>52</v>
      </c>
      <c r="L17" t="s">
        <v>3</v>
      </c>
      <c r="M17">
        <v>6</v>
      </c>
      <c r="N17">
        <v>7</v>
      </c>
      <c r="O17">
        <f t="shared" si="0"/>
        <v>90</v>
      </c>
      <c r="P17" t="s">
        <v>101</v>
      </c>
      <c r="Q17" s="3">
        <v>45872</v>
      </c>
      <c r="R17" t="s">
        <v>103</v>
      </c>
      <c r="S17" t="s">
        <v>113</v>
      </c>
      <c r="T17" s="17" t="s">
        <v>150</v>
      </c>
      <c r="U17" t="s">
        <v>124</v>
      </c>
      <c r="V17" t="s">
        <v>152</v>
      </c>
      <c r="W17" t="s">
        <v>125</v>
      </c>
      <c r="X17" t="s">
        <v>126</v>
      </c>
      <c r="Y17" t="s">
        <v>128</v>
      </c>
      <c r="Z17" t="s">
        <v>118</v>
      </c>
      <c r="AA17" t="s">
        <v>3</v>
      </c>
      <c r="AB17" t="s">
        <v>120</v>
      </c>
    </row>
    <row r="18" spans="1:28" x14ac:dyDescent="0.3">
      <c r="A18" t="s">
        <v>50</v>
      </c>
      <c r="B18">
        <v>71</v>
      </c>
      <c r="C18" t="s">
        <v>3</v>
      </c>
      <c r="D18">
        <v>6</v>
      </c>
      <c r="E18">
        <v>60</v>
      </c>
      <c r="F18" t="s">
        <v>3</v>
      </c>
      <c r="G18">
        <v>7</v>
      </c>
      <c r="H18">
        <v>52</v>
      </c>
      <c r="I18" t="s">
        <v>3</v>
      </c>
      <c r="J18">
        <v>6</v>
      </c>
      <c r="K18">
        <v>50</v>
      </c>
      <c r="L18" t="s">
        <v>3</v>
      </c>
      <c r="M18">
        <v>7</v>
      </c>
      <c r="N18">
        <v>7</v>
      </c>
      <c r="O18">
        <f t="shared" si="0"/>
        <v>93.333333333333314</v>
      </c>
      <c r="P18" t="s">
        <v>35</v>
      </c>
      <c r="Q18" s="3">
        <v>45873</v>
      </c>
      <c r="R18" s="9" t="s">
        <v>82</v>
      </c>
      <c r="S18" t="s">
        <v>113</v>
      </c>
      <c r="T18" t="s">
        <v>149</v>
      </c>
      <c r="U18" t="s">
        <v>115</v>
      </c>
      <c r="V18" t="s">
        <v>156</v>
      </c>
      <c r="W18" t="s">
        <v>136</v>
      </c>
      <c r="X18" t="s">
        <v>127</v>
      </c>
      <c r="Y18" t="s">
        <v>128</v>
      </c>
      <c r="Z18" t="s">
        <v>118</v>
      </c>
      <c r="AA18" t="s">
        <v>143</v>
      </c>
      <c r="AB18" t="s">
        <v>133</v>
      </c>
    </row>
    <row r="19" spans="1:28" x14ac:dyDescent="0.3">
      <c r="A19" t="s">
        <v>51</v>
      </c>
      <c r="B19">
        <v>28</v>
      </c>
      <c r="C19" t="s">
        <v>3</v>
      </c>
      <c r="D19">
        <v>6</v>
      </c>
      <c r="E19">
        <v>33</v>
      </c>
      <c r="F19" t="s">
        <v>3</v>
      </c>
      <c r="G19">
        <v>7</v>
      </c>
      <c r="H19">
        <v>40</v>
      </c>
      <c r="I19" t="s">
        <v>3</v>
      </c>
      <c r="J19">
        <v>7</v>
      </c>
      <c r="K19">
        <v>28</v>
      </c>
      <c r="L19" t="s">
        <v>3</v>
      </c>
      <c r="M19">
        <v>7</v>
      </c>
      <c r="N19">
        <v>7</v>
      </c>
      <c r="O19">
        <f t="shared" si="0"/>
        <v>96.666666666666657</v>
      </c>
      <c r="P19" t="s">
        <v>36</v>
      </c>
      <c r="Q19" s="3">
        <v>45873</v>
      </c>
      <c r="R19" t="s">
        <v>83</v>
      </c>
      <c r="S19" t="s">
        <v>144</v>
      </c>
      <c r="U19" t="s">
        <v>115</v>
      </c>
      <c r="V19" t="s">
        <v>164</v>
      </c>
      <c r="W19" t="s">
        <v>136</v>
      </c>
      <c r="X19" t="s">
        <v>157</v>
      </c>
      <c r="Y19" t="s">
        <v>128</v>
      </c>
      <c r="Z19" t="s">
        <v>130</v>
      </c>
      <c r="AA19" t="s">
        <v>143</v>
      </c>
      <c r="AB19" t="s">
        <v>133</v>
      </c>
    </row>
    <row r="20" spans="1:28" x14ac:dyDescent="0.3">
      <c r="A20" t="s">
        <v>52</v>
      </c>
      <c r="B20">
        <v>60</v>
      </c>
      <c r="C20" t="s">
        <v>3</v>
      </c>
      <c r="D20">
        <v>5</v>
      </c>
      <c r="E20">
        <v>43</v>
      </c>
      <c r="F20" t="s">
        <v>3</v>
      </c>
      <c r="G20">
        <v>6</v>
      </c>
      <c r="H20">
        <v>60</v>
      </c>
      <c r="I20" t="s">
        <v>3</v>
      </c>
      <c r="J20">
        <v>6</v>
      </c>
      <c r="K20">
        <v>49</v>
      </c>
      <c r="L20" t="s">
        <v>3</v>
      </c>
      <c r="M20">
        <v>7</v>
      </c>
      <c r="N20">
        <v>6</v>
      </c>
      <c r="O20">
        <f t="shared" si="0"/>
        <v>83.333333333333314</v>
      </c>
      <c r="P20" t="s">
        <v>37</v>
      </c>
      <c r="Q20" s="3">
        <v>45873</v>
      </c>
      <c r="R20" s="9" t="s">
        <v>84</v>
      </c>
      <c r="S20" t="s">
        <v>113</v>
      </c>
      <c r="T20" t="s">
        <v>165</v>
      </c>
      <c r="U20" t="s">
        <v>115</v>
      </c>
      <c r="V20" t="s">
        <v>152</v>
      </c>
      <c r="W20" t="s">
        <v>136</v>
      </c>
      <c r="X20" t="s">
        <v>126</v>
      </c>
      <c r="Y20" t="s">
        <v>141</v>
      </c>
      <c r="Z20" t="s">
        <v>118</v>
      </c>
      <c r="AA20" t="s">
        <v>143</v>
      </c>
      <c r="AB20" t="s">
        <v>120</v>
      </c>
    </row>
    <row r="21" spans="1:28" x14ac:dyDescent="0.3">
      <c r="A21" t="s">
        <v>53</v>
      </c>
      <c r="B21">
        <v>140</v>
      </c>
      <c r="C21" t="s">
        <v>3</v>
      </c>
      <c r="D21">
        <v>7</v>
      </c>
      <c r="E21">
        <v>125</v>
      </c>
      <c r="F21" t="s">
        <v>3</v>
      </c>
      <c r="G21">
        <v>5</v>
      </c>
      <c r="H21">
        <v>180</v>
      </c>
      <c r="I21" s="14" t="s">
        <v>90</v>
      </c>
      <c r="J21">
        <v>4</v>
      </c>
      <c r="K21">
        <v>70</v>
      </c>
      <c r="L21" t="s">
        <v>3</v>
      </c>
      <c r="M21">
        <v>5</v>
      </c>
      <c r="N21">
        <v>5</v>
      </c>
      <c r="O21">
        <f t="shared" si="0"/>
        <v>70</v>
      </c>
      <c r="P21" t="s">
        <v>38</v>
      </c>
      <c r="Q21" s="3">
        <v>45873</v>
      </c>
      <c r="R21" s="9" t="s">
        <v>3</v>
      </c>
      <c r="S21" t="s">
        <v>113</v>
      </c>
      <c r="T21" t="s">
        <v>161</v>
      </c>
      <c r="U21" t="s">
        <v>115</v>
      </c>
      <c r="V21" t="s">
        <v>152</v>
      </c>
      <c r="W21" t="s">
        <v>136</v>
      </c>
      <c r="X21" t="s">
        <v>157</v>
      </c>
      <c r="Y21" t="s">
        <v>162</v>
      </c>
      <c r="Z21" t="s">
        <v>118</v>
      </c>
      <c r="AA21" t="s">
        <v>143</v>
      </c>
      <c r="AB21" t="s">
        <v>120</v>
      </c>
    </row>
    <row r="22" spans="1:28" x14ac:dyDescent="0.3">
      <c r="A22" t="s">
        <v>54</v>
      </c>
      <c r="B22">
        <v>45</v>
      </c>
      <c r="C22" t="s">
        <v>3</v>
      </c>
      <c r="D22">
        <v>6</v>
      </c>
      <c r="E22">
        <v>40</v>
      </c>
      <c r="F22" t="s">
        <v>3</v>
      </c>
      <c r="G22">
        <v>7</v>
      </c>
      <c r="H22">
        <v>45</v>
      </c>
      <c r="I22" t="s">
        <v>3</v>
      </c>
      <c r="J22">
        <v>7</v>
      </c>
      <c r="K22">
        <v>43</v>
      </c>
      <c r="L22" t="s">
        <v>3</v>
      </c>
      <c r="M22">
        <v>7</v>
      </c>
      <c r="N22">
        <v>7</v>
      </c>
      <c r="O22">
        <f t="shared" si="0"/>
        <v>96.666666666666657</v>
      </c>
      <c r="P22" t="s">
        <v>39</v>
      </c>
      <c r="Q22" s="3">
        <v>45873</v>
      </c>
      <c r="R22" s="9" t="s">
        <v>87</v>
      </c>
      <c r="S22" t="s">
        <v>113</v>
      </c>
      <c r="T22" t="s">
        <v>160</v>
      </c>
      <c r="U22" t="s">
        <v>115</v>
      </c>
      <c r="V22" t="s">
        <v>156</v>
      </c>
      <c r="W22" t="s">
        <v>136</v>
      </c>
      <c r="X22" t="s">
        <v>157</v>
      </c>
      <c r="Y22" t="s">
        <v>141</v>
      </c>
      <c r="Z22" t="s">
        <v>118</v>
      </c>
      <c r="AA22" t="s">
        <v>143</v>
      </c>
      <c r="AB22" t="s">
        <v>133</v>
      </c>
    </row>
    <row r="23" spans="1:28" x14ac:dyDescent="0.3">
      <c r="A23" t="s">
        <v>55</v>
      </c>
      <c r="B23">
        <v>74</v>
      </c>
      <c r="C23" t="s">
        <v>3</v>
      </c>
      <c r="D23">
        <v>6</v>
      </c>
      <c r="E23">
        <v>48</v>
      </c>
      <c r="F23" t="s">
        <v>3</v>
      </c>
      <c r="G23">
        <v>6</v>
      </c>
      <c r="H23">
        <v>55</v>
      </c>
      <c r="I23" t="s">
        <v>3</v>
      </c>
      <c r="J23">
        <v>7</v>
      </c>
      <c r="K23">
        <v>47</v>
      </c>
      <c r="L23" t="s">
        <v>3</v>
      </c>
      <c r="M23">
        <v>7</v>
      </c>
      <c r="N23">
        <v>7</v>
      </c>
      <c r="O23">
        <f t="shared" si="0"/>
        <v>93.333333333333314</v>
      </c>
      <c r="P23" t="s">
        <v>40</v>
      </c>
      <c r="Q23" s="3">
        <v>45873</v>
      </c>
      <c r="R23" s="9" t="s">
        <v>3</v>
      </c>
      <c r="S23" t="s">
        <v>113</v>
      </c>
      <c r="T23" t="s">
        <v>166</v>
      </c>
      <c r="U23" t="s">
        <v>115</v>
      </c>
      <c r="V23" t="s">
        <v>152</v>
      </c>
      <c r="W23" t="s">
        <v>136</v>
      </c>
      <c r="X23" t="s">
        <v>157</v>
      </c>
      <c r="Y23" t="s">
        <v>129</v>
      </c>
      <c r="Z23" t="s">
        <v>118</v>
      </c>
      <c r="AA23" t="s">
        <v>3</v>
      </c>
      <c r="AB23" t="s">
        <v>133</v>
      </c>
    </row>
    <row r="24" spans="1:28" x14ac:dyDescent="0.3">
      <c r="A24" t="s">
        <v>56</v>
      </c>
      <c r="B24">
        <v>120</v>
      </c>
      <c r="C24" t="s">
        <v>3</v>
      </c>
      <c r="D24">
        <v>7</v>
      </c>
      <c r="E24">
        <v>87</v>
      </c>
      <c r="F24" t="s">
        <v>3</v>
      </c>
      <c r="G24">
        <v>7</v>
      </c>
      <c r="H24">
        <v>125</v>
      </c>
      <c r="I24" t="s">
        <v>90</v>
      </c>
      <c r="J24">
        <v>7</v>
      </c>
      <c r="K24">
        <v>60</v>
      </c>
      <c r="L24" t="s">
        <v>3</v>
      </c>
      <c r="M24">
        <v>6</v>
      </c>
      <c r="N24">
        <v>7</v>
      </c>
      <c r="O24">
        <f t="shared" si="0"/>
        <v>96.666666666666657</v>
      </c>
      <c r="P24" t="s">
        <v>41</v>
      </c>
      <c r="Q24" s="3">
        <v>45874</v>
      </c>
      <c r="R24" t="s">
        <v>86</v>
      </c>
      <c r="S24" t="s">
        <v>163</v>
      </c>
      <c r="U24" t="s">
        <v>115</v>
      </c>
      <c r="V24" t="s">
        <v>154</v>
      </c>
      <c r="W24" t="s">
        <v>136</v>
      </c>
      <c r="X24" t="s">
        <v>126</v>
      </c>
      <c r="Y24" t="s">
        <v>129</v>
      </c>
      <c r="Z24" t="s">
        <v>130</v>
      </c>
      <c r="AA24" t="s">
        <v>143</v>
      </c>
      <c r="AB24" t="s">
        <v>120</v>
      </c>
    </row>
    <row r="25" spans="1:28" ht="28.8" x14ac:dyDescent="0.3">
      <c r="A25" t="s">
        <v>57</v>
      </c>
      <c r="B25">
        <v>36</v>
      </c>
      <c r="C25" t="s">
        <v>3</v>
      </c>
      <c r="D25">
        <v>6</v>
      </c>
      <c r="E25">
        <v>35</v>
      </c>
      <c r="F25" t="s">
        <v>3</v>
      </c>
      <c r="G25">
        <v>7</v>
      </c>
      <c r="H25">
        <v>36</v>
      </c>
      <c r="I25" t="s">
        <v>3</v>
      </c>
      <c r="J25">
        <v>6</v>
      </c>
      <c r="K25">
        <v>30</v>
      </c>
      <c r="L25" t="s">
        <v>3</v>
      </c>
      <c r="M25">
        <v>7</v>
      </c>
      <c r="N25">
        <v>7</v>
      </c>
      <c r="O25">
        <f t="shared" si="0"/>
        <v>93.333333333333314</v>
      </c>
      <c r="P25" t="s">
        <v>42</v>
      </c>
      <c r="Q25" s="3">
        <v>45874</v>
      </c>
      <c r="R25" s="9" t="s">
        <v>85</v>
      </c>
      <c r="S25" t="s">
        <v>113</v>
      </c>
      <c r="T25" t="s">
        <v>122</v>
      </c>
      <c r="U25" t="s">
        <v>115</v>
      </c>
      <c r="V25" t="s">
        <v>152</v>
      </c>
      <c r="W25" t="s">
        <v>125</v>
      </c>
      <c r="X25" t="s">
        <v>126</v>
      </c>
      <c r="Y25" t="s">
        <v>128</v>
      </c>
      <c r="Z25" t="s">
        <v>130</v>
      </c>
      <c r="AA25" t="s">
        <v>3</v>
      </c>
      <c r="AB25" t="s">
        <v>133</v>
      </c>
    </row>
    <row r="26" spans="1:28" x14ac:dyDescent="0.3">
      <c r="A26" t="s">
        <v>58</v>
      </c>
      <c r="B26">
        <v>45</v>
      </c>
      <c r="C26" t="s">
        <v>3</v>
      </c>
      <c r="D26">
        <v>7</v>
      </c>
      <c r="E26">
        <v>38</v>
      </c>
      <c r="F26" t="s">
        <v>3</v>
      </c>
      <c r="G26">
        <v>6</v>
      </c>
      <c r="H26">
        <v>45</v>
      </c>
      <c r="I26" t="s">
        <v>3</v>
      </c>
      <c r="J26">
        <v>6</v>
      </c>
      <c r="K26">
        <v>37</v>
      </c>
      <c r="L26" t="s">
        <v>3</v>
      </c>
      <c r="M26">
        <v>7</v>
      </c>
      <c r="N26">
        <v>6</v>
      </c>
      <c r="O26">
        <f t="shared" si="0"/>
        <v>90</v>
      </c>
      <c r="P26" t="s">
        <v>43</v>
      </c>
      <c r="Q26" s="3">
        <v>45874</v>
      </c>
      <c r="R26" s="9" t="s">
        <v>3</v>
      </c>
      <c r="S26" t="s">
        <v>113</v>
      </c>
      <c r="T26" t="s">
        <v>114</v>
      </c>
      <c r="U26" t="s">
        <v>115</v>
      </c>
      <c r="V26" t="s">
        <v>156</v>
      </c>
      <c r="W26" t="s">
        <v>125</v>
      </c>
      <c r="X26" t="s">
        <v>157</v>
      </c>
      <c r="Y26" t="s">
        <v>141</v>
      </c>
      <c r="Z26" t="s">
        <v>170</v>
      </c>
      <c r="AA26" t="s">
        <v>143</v>
      </c>
      <c r="AB26" t="s">
        <v>132</v>
      </c>
    </row>
    <row r="27" spans="1:28" x14ac:dyDescent="0.3">
      <c r="A27" t="s">
        <v>59</v>
      </c>
      <c r="B27">
        <v>40</v>
      </c>
      <c r="C27" t="s">
        <v>3</v>
      </c>
      <c r="D27">
        <v>7</v>
      </c>
      <c r="E27">
        <v>45</v>
      </c>
      <c r="F27" t="s">
        <v>3</v>
      </c>
      <c r="G27">
        <v>7</v>
      </c>
      <c r="H27">
        <v>47</v>
      </c>
      <c r="I27" t="s">
        <v>3</v>
      </c>
      <c r="J27">
        <v>7</v>
      </c>
      <c r="K27">
        <v>41</v>
      </c>
      <c r="L27" t="s">
        <v>3</v>
      </c>
      <c r="M27">
        <v>7</v>
      </c>
      <c r="N27">
        <v>7</v>
      </c>
      <c r="O27">
        <f t="shared" si="0"/>
        <v>100</v>
      </c>
      <c r="P27" s="15" t="s">
        <v>95</v>
      </c>
      <c r="Q27" s="3">
        <v>45874</v>
      </c>
      <c r="R27" s="16" t="s">
        <v>98</v>
      </c>
      <c r="S27" t="s">
        <v>113</v>
      </c>
      <c r="T27" t="s">
        <v>171</v>
      </c>
      <c r="U27" t="s">
        <v>115</v>
      </c>
      <c r="V27" t="s">
        <v>152</v>
      </c>
      <c r="W27" t="s">
        <v>169</v>
      </c>
      <c r="X27" t="s">
        <v>157</v>
      </c>
      <c r="Y27" t="s">
        <v>168</v>
      </c>
      <c r="Z27" t="s">
        <v>130</v>
      </c>
      <c r="AA27" t="s">
        <v>143</v>
      </c>
      <c r="AB27" t="s">
        <v>133</v>
      </c>
    </row>
    <row r="28" spans="1:28" x14ac:dyDescent="0.3">
      <c r="A28" t="s">
        <v>60</v>
      </c>
      <c r="B28">
        <v>51</v>
      </c>
      <c r="C28" t="s">
        <v>3</v>
      </c>
      <c r="D28">
        <v>7</v>
      </c>
      <c r="E28">
        <v>48</v>
      </c>
      <c r="F28" t="s">
        <v>3</v>
      </c>
      <c r="G28">
        <v>6</v>
      </c>
      <c r="H28">
        <v>122</v>
      </c>
      <c r="I28" t="s">
        <v>90</v>
      </c>
      <c r="J28">
        <v>5</v>
      </c>
      <c r="K28">
        <v>57</v>
      </c>
      <c r="L28" t="s">
        <v>3</v>
      </c>
      <c r="M28">
        <v>6</v>
      </c>
      <c r="N28">
        <v>6</v>
      </c>
      <c r="O28">
        <f t="shared" si="0"/>
        <v>83.333333333333314</v>
      </c>
      <c r="P28" s="15" t="s">
        <v>44</v>
      </c>
      <c r="Q28" s="3">
        <v>45875</v>
      </c>
      <c r="R28" s="9" t="s">
        <v>3</v>
      </c>
      <c r="S28" t="s">
        <v>113</v>
      </c>
      <c r="T28" t="s">
        <v>165</v>
      </c>
      <c r="U28" t="s">
        <v>115</v>
      </c>
      <c r="V28" t="s">
        <v>152</v>
      </c>
      <c r="W28" t="s">
        <v>169</v>
      </c>
      <c r="X28" t="s">
        <v>157</v>
      </c>
      <c r="Y28" t="s">
        <v>129</v>
      </c>
      <c r="Z28" t="s">
        <v>118</v>
      </c>
      <c r="AA28" t="s">
        <v>143</v>
      </c>
      <c r="AB28" t="s">
        <v>120</v>
      </c>
    </row>
    <row r="29" spans="1:28" x14ac:dyDescent="0.3">
      <c r="A29" t="s">
        <v>61</v>
      </c>
      <c r="B29">
        <v>100</v>
      </c>
      <c r="C29" t="s">
        <v>3</v>
      </c>
      <c r="D29">
        <v>6</v>
      </c>
      <c r="E29">
        <v>80</v>
      </c>
      <c r="F29" t="s">
        <v>3</v>
      </c>
      <c r="G29">
        <v>6</v>
      </c>
      <c r="H29">
        <v>150</v>
      </c>
      <c r="I29" t="s">
        <v>90</v>
      </c>
      <c r="J29">
        <v>6</v>
      </c>
      <c r="K29">
        <v>70</v>
      </c>
      <c r="L29" t="s">
        <v>90</v>
      </c>
      <c r="M29">
        <v>6</v>
      </c>
      <c r="N29">
        <v>6</v>
      </c>
      <c r="O29">
        <f t="shared" si="0"/>
        <v>83.333333333333314</v>
      </c>
      <c r="P29" s="15" t="s">
        <v>100</v>
      </c>
      <c r="Q29" s="3">
        <v>45876</v>
      </c>
      <c r="R29" s="9" t="s">
        <v>3</v>
      </c>
      <c r="S29" t="s">
        <v>148</v>
      </c>
      <c r="U29" t="s">
        <v>115</v>
      </c>
      <c r="V29" t="s">
        <v>152</v>
      </c>
      <c r="W29" t="s">
        <v>125</v>
      </c>
      <c r="X29" t="s">
        <v>126</v>
      </c>
      <c r="Y29" t="s">
        <v>128</v>
      </c>
      <c r="Z29" t="s">
        <v>170</v>
      </c>
      <c r="AA29" t="s">
        <v>143</v>
      </c>
      <c r="AB29" t="s">
        <v>133</v>
      </c>
    </row>
    <row r="30" spans="1:28" x14ac:dyDescent="0.3">
      <c r="A30" t="s">
        <v>62</v>
      </c>
      <c r="B30">
        <v>55</v>
      </c>
      <c r="C30" t="s">
        <v>3</v>
      </c>
      <c r="D30">
        <v>7</v>
      </c>
      <c r="E30">
        <v>50</v>
      </c>
      <c r="F30" t="s">
        <v>3</v>
      </c>
      <c r="G30">
        <v>6</v>
      </c>
      <c r="H30">
        <v>63</v>
      </c>
      <c r="I30" t="s">
        <v>3</v>
      </c>
      <c r="J30">
        <v>7</v>
      </c>
      <c r="K30">
        <v>58</v>
      </c>
      <c r="L30" t="s">
        <v>3</v>
      </c>
      <c r="M30">
        <v>6</v>
      </c>
      <c r="N30">
        <v>7</v>
      </c>
      <c r="O30">
        <f t="shared" si="0"/>
        <v>93.333333333333314</v>
      </c>
      <c r="P30" s="15" t="s">
        <v>93</v>
      </c>
      <c r="Q30" s="3">
        <v>45876</v>
      </c>
      <c r="R30" s="9" t="s">
        <v>3</v>
      </c>
      <c r="S30" t="s">
        <v>147</v>
      </c>
      <c r="U30" t="s">
        <v>124</v>
      </c>
      <c r="V30" t="s">
        <v>156</v>
      </c>
      <c r="W30" t="s">
        <v>136</v>
      </c>
      <c r="X30" t="s">
        <v>126</v>
      </c>
      <c r="Y30" t="s">
        <v>132</v>
      </c>
      <c r="Z30" t="s">
        <v>170</v>
      </c>
      <c r="AA30" t="s">
        <v>143</v>
      </c>
      <c r="AB30" t="s">
        <v>133</v>
      </c>
    </row>
    <row r="31" spans="1:28" x14ac:dyDescent="0.3">
      <c r="A31" t="s">
        <v>63</v>
      </c>
      <c r="B31">
        <v>36</v>
      </c>
      <c r="C31" t="s">
        <v>3</v>
      </c>
      <c r="D31">
        <v>7</v>
      </c>
      <c r="E31">
        <v>35</v>
      </c>
      <c r="F31" t="s">
        <v>3</v>
      </c>
      <c r="G31">
        <v>7</v>
      </c>
      <c r="H31">
        <v>40</v>
      </c>
      <c r="I31" t="s">
        <v>3</v>
      </c>
      <c r="J31">
        <v>7</v>
      </c>
      <c r="K31">
        <v>46</v>
      </c>
      <c r="L31" t="s">
        <v>3</v>
      </c>
      <c r="M31">
        <v>7</v>
      </c>
      <c r="N31">
        <v>7</v>
      </c>
      <c r="O31">
        <f t="shared" si="0"/>
        <v>100</v>
      </c>
      <c r="P31" s="15" t="s">
        <v>94</v>
      </c>
      <c r="Q31" s="3">
        <v>45876</v>
      </c>
      <c r="R31" s="9" t="s">
        <v>99</v>
      </c>
      <c r="S31" t="s">
        <v>113</v>
      </c>
      <c r="T31" t="s">
        <v>145</v>
      </c>
      <c r="U31" t="s">
        <v>115</v>
      </c>
      <c r="V31" t="s">
        <v>152</v>
      </c>
      <c r="W31" t="s">
        <v>125</v>
      </c>
      <c r="X31" t="s">
        <v>126</v>
      </c>
      <c r="Y31" t="s">
        <v>128</v>
      </c>
      <c r="Z31" t="s">
        <v>118</v>
      </c>
      <c r="AA31" t="s">
        <v>3</v>
      </c>
      <c r="AB31" t="s">
        <v>142</v>
      </c>
    </row>
    <row r="32" spans="1:28" x14ac:dyDescent="0.3">
      <c r="A32" t="s">
        <v>64</v>
      </c>
      <c r="B32">
        <v>28</v>
      </c>
      <c r="C32" t="s">
        <v>3</v>
      </c>
      <c r="D32">
        <v>7</v>
      </c>
      <c r="E32">
        <v>30</v>
      </c>
      <c r="F32" t="s">
        <v>3</v>
      </c>
      <c r="G32">
        <v>6</v>
      </c>
      <c r="H32">
        <v>35</v>
      </c>
      <c r="I32" t="s">
        <v>3</v>
      </c>
      <c r="J32">
        <v>7</v>
      </c>
      <c r="K32">
        <v>29</v>
      </c>
      <c r="L32" t="s">
        <v>3</v>
      </c>
      <c r="M32">
        <v>7</v>
      </c>
      <c r="N32">
        <v>7</v>
      </c>
      <c r="O32">
        <f t="shared" si="0"/>
        <v>96.666666666666657</v>
      </c>
      <c r="P32" s="15" t="s">
        <v>96</v>
      </c>
      <c r="Q32" s="3">
        <v>45878</v>
      </c>
      <c r="R32" s="16" t="s">
        <v>97</v>
      </c>
      <c r="S32" t="s">
        <v>146</v>
      </c>
      <c r="U32" t="s">
        <v>115</v>
      </c>
      <c r="V32" t="s">
        <v>164</v>
      </c>
      <c r="W32" t="s">
        <v>136</v>
      </c>
      <c r="X32" t="s">
        <v>126</v>
      </c>
      <c r="Y32" t="s">
        <v>167</v>
      </c>
      <c r="Z32" t="s">
        <v>130</v>
      </c>
      <c r="AA32" t="s">
        <v>143</v>
      </c>
      <c r="AB32" t="s">
        <v>120</v>
      </c>
    </row>
    <row r="34" spans="1:18" s="8" customFormat="1" x14ac:dyDescent="0.3">
      <c r="A34" s="8" t="s">
        <v>65</v>
      </c>
      <c r="B34" s="8">
        <f>AVERAGE(B3:B32)</f>
        <v>67.3</v>
      </c>
      <c r="C34" s="12">
        <v>1</v>
      </c>
      <c r="D34" s="8">
        <f xml:space="preserve"> AVERAGE(D3:D32)</f>
        <v>6.4</v>
      </c>
      <c r="E34" s="8">
        <f>AVERAGE(E3:E32)</f>
        <v>58.9</v>
      </c>
      <c r="F34" s="12">
        <v>1</v>
      </c>
      <c r="G34" s="8">
        <f>AVERAGE(G3:G32)</f>
        <v>6.333333333333333</v>
      </c>
      <c r="H34" s="8">
        <f>AVERAGE(H3:H32)</f>
        <v>86.6</v>
      </c>
      <c r="I34" s="12">
        <v>0.76</v>
      </c>
      <c r="J34" s="8">
        <f>AVERAGE(J3:J32)</f>
        <v>6.3</v>
      </c>
      <c r="K34" s="8">
        <f>AVERAGE(K3:K32)</f>
        <v>48.7</v>
      </c>
      <c r="L34" s="12">
        <v>1</v>
      </c>
      <c r="M34" s="8">
        <f>AVERAGE(M3:M32)</f>
        <v>6.4</v>
      </c>
      <c r="N34" s="8">
        <f>AVERAGE(N3:N32)</f>
        <v>6.6333333333333337</v>
      </c>
      <c r="O34" s="8">
        <f>AVERAGE(O3:O32)</f>
        <v>90.222222222222214</v>
      </c>
      <c r="R34" s="11"/>
    </row>
    <row r="35" spans="1:18" x14ac:dyDescent="0.3">
      <c r="B35" t="s">
        <v>89</v>
      </c>
      <c r="C35" t="s">
        <v>91</v>
      </c>
      <c r="D35" t="s">
        <v>92</v>
      </c>
      <c r="E35" t="s">
        <v>89</v>
      </c>
      <c r="F35" t="s">
        <v>91</v>
      </c>
      <c r="G35" t="s">
        <v>92</v>
      </c>
      <c r="H35" t="s">
        <v>89</v>
      </c>
      <c r="I35" t="s">
        <v>91</v>
      </c>
      <c r="J35" t="s">
        <v>92</v>
      </c>
      <c r="K35" t="s">
        <v>89</v>
      </c>
      <c r="L35" t="s">
        <v>91</v>
      </c>
      <c r="M35" t="s">
        <v>92</v>
      </c>
      <c r="N35" t="s">
        <v>92</v>
      </c>
      <c r="O35" t="s">
        <v>102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8567-B159-4CCA-A2E6-388835794F0C}">
  <dimension ref="A1:F126"/>
  <sheetViews>
    <sheetView tabSelected="1" topLeftCell="A46" zoomScale="95" workbookViewId="0">
      <selection activeCell="D62" sqref="D62"/>
    </sheetView>
  </sheetViews>
  <sheetFormatPr defaultRowHeight="14.4" x14ac:dyDescent="0.3"/>
  <cols>
    <col min="1" max="1" width="28.5546875" customWidth="1"/>
    <col min="2" max="2" width="25.109375" bestFit="1" customWidth="1"/>
    <col min="3" max="3" width="10.77734375" customWidth="1"/>
    <col min="4" max="4" width="14.44140625" customWidth="1"/>
    <col min="5" max="5" width="71.44140625" customWidth="1"/>
    <col min="6" max="6" width="19.44140625" customWidth="1"/>
  </cols>
  <sheetData>
    <row r="1" spans="1:6" x14ac:dyDescent="0.3">
      <c r="A1" s="18" t="s">
        <v>172</v>
      </c>
      <c r="B1" s="18" t="s">
        <v>173</v>
      </c>
      <c r="C1" s="18" t="s">
        <v>430</v>
      </c>
      <c r="D1" s="18" t="s">
        <v>431</v>
      </c>
      <c r="E1" s="18" t="s">
        <v>174</v>
      </c>
      <c r="F1" s="18" t="s">
        <v>175</v>
      </c>
    </row>
    <row r="2" spans="1:6" x14ac:dyDescent="0.3">
      <c r="A2" t="s">
        <v>176</v>
      </c>
      <c r="B2" t="s">
        <v>177</v>
      </c>
      <c r="E2" t="s">
        <v>178</v>
      </c>
      <c r="F2" t="s">
        <v>19</v>
      </c>
    </row>
    <row r="3" spans="1:6" x14ac:dyDescent="0.3">
      <c r="A3" t="s">
        <v>176</v>
      </c>
      <c r="B3" t="s">
        <v>177</v>
      </c>
      <c r="E3" t="s">
        <v>179</v>
      </c>
      <c r="F3" t="s">
        <v>25</v>
      </c>
    </row>
    <row r="4" spans="1:6" x14ac:dyDescent="0.3">
      <c r="A4" t="s">
        <v>180</v>
      </c>
      <c r="B4" t="s">
        <v>181</v>
      </c>
      <c r="E4" t="s">
        <v>182</v>
      </c>
      <c r="F4" t="s">
        <v>101</v>
      </c>
    </row>
    <row r="5" spans="1:6" x14ac:dyDescent="0.3">
      <c r="A5" t="s">
        <v>183</v>
      </c>
      <c r="B5" t="s">
        <v>184</v>
      </c>
      <c r="E5" t="s">
        <v>185</v>
      </c>
      <c r="F5" t="s">
        <v>186</v>
      </c>
    </row>
    <row r="6" spans="1:6" x14ac:dyDescent="0.3">
      <c r="A6" t="s">
        <v>183</v>
      </c>
      <c r="B6" t="s">
        <v>184</v>
      </c>
      <c r="E6" t="s">
        <v>187</v>
      </c>
      <c r="F6" t="s">
        <v>36</v>
      </c>
    </row>
    <row r="7" spans="1:6" x14ac:dyDescent="0.3">
      <c r="A7" t="s">
        <v>183</v>
      </c>
      <c r="B7" t="s">
        <v>184</v>
      </c>
      <c r="E7" t="s">
        <v>188</v>
      </c>
      <c r="F7" t="s">
        <v>39</v>
      </c>
    </row>
    <row r="8" spans="1:6" x14ac:dyDescent="0.3">
      <c r="A8" t="s">
        <v>183</v>
      </c>
      <c r="B8" t="s">
        <v>189</v>
      </c>
      <c r="E8" t="s">
        <v>190</v>
      </c>
      <c r="F8" t="s">
        <v>191</v>
      </c>
    </row>
    <row r="9" spans="1:6" x14ac:dyDescent="0.3">
      <c r="A9" t="s">
        <v>183</v>
      </c>
      <c r="B9" t="s">
        <v>192</v>
      </c>
      <c r="E9" t="s">
        <v>193</v>
      </c>
      <c r="F9" t="s">
        <v>191</v>
      </c>
    </row>
    <row r="10" spans="1:6" x14ac:dyDescent="0.3">
      <c r="A10" t="s">
        <v>183</v>
      </c>
      <c r="B10" t="s">
        <v>194</v>
      </c>
      <c r="E10" t="s">
        <v>195</v>
      </c>
      <c r="F10" t="s">
        <v>191</v>
      </c>
    </row>
    <row r="11" spans="1:6" x14ac:dyDescent="0.3">
      <c r="A11" t="s">
        <v>196</v>
      </c>
      <c r="B11" t="s">
        <v>197</v>
      </c>
      <c r="C11">
        <v>3</v>
      </c>
      <c r="D11" t="s">
        <v>433</v>
      </c>
      <c r="E11" t="s">
        <v>198</v>
      </c>
      <c r="F11" t="s">
        <v>191</v>
      </c>
    </row>
    <row r="12" spans="1:6" x14ac:dyDescent="0.3">
      <c r="A12" t="s">
        <v>199</v>
      </c>
      <c r="B12" t="s">
        <v>200</v>
      </c>
      <c r="E12" t="s">
        <v>201</v>
      </c>
      <c r="F12" t="s">
        <v>16</v>
      </c>
    </row>
    <row r="13" spans="1:6" x14ac:dyDescent="0.3">
      <c r="A13" t="s">
        <v>202</v>
      </c>
      <c r="B13" t="s">
        <v>203</v>
      </c>
      <c r="E13" t="s">
        <v>204</v>
      </c>
      <c r="F13" t="s">
        <v>16</v>
      </c>
    </row>
    <row r="14" spans="1:6" x14ac:dyDescent="0.3">
      <c r="A14" t="s">
        <v>202</v>
      </c>
      <c r="B14" t="s">
        <v>203</v>
      </c>
      <c r="C14">
        <v>2</v>
      </c>
      <c r="D14" t="s">
        <v>432</v>
      </c>
      <c r="E14" t="s">
        <v>205</v>
      </c>
      <c r="F14" t="s">
        <v>43</v>
      </c>
    </row>
    <row r="15" spans="1:6" x14ac:dyDescent="0.3">
      <c r="A15" t="s">
        <v>202</v>
      </c>
      <c r="B15" t="s">
        <v>206</v>
      </c>
      <c r="C15">
        <v>2</v>
      </c>
      <c r="D15" t="s">
        <v>432</v>
      </c>
      <c r="E15" t="s">
        <v>207</v>
      </c>
      <c r="F15" t="s">
        <v>208</v>
      </c>
    </row>
    <row r="16" spans="1:6" x14ac:dyDescent="0.3">
      <c r="A16" t="s">
        <v>209</v>
      </c>
      <c r="B16" t="s">
        <v>210</v>
      </c>
      <c r="E16" t="s">
        <v>211</v>
      </c>
      <c r="F16" t="s">
        <v>38</v>
      </c>
    </row>
    <row r="17" spans="1:6" x14ac:dyDescent="0.3">
      <c r="A17" t="s">
        <v>212</v>
      </c>
      <c r="B17" t="s">
        <v>213</v>
      </c>
      <c r="C17">
        <v>3</v>
      </c>
      <c r="D17" t="s">
        <v>433</v>
      </c>
      <c r="E17" t="s">
        <v>214</v>
      </c>
      <c r="F17" t="s">
        <v>15</v>
      </c>
    </row>
    <row r="18" spans="1:6" x14ac:dyDescent="0.3">
      <c r="A18" t="s">
        <v>212</v>
      </c>
      <c r="B18" t="s">
        <v>215</v>
      </c>
      <c r="C18">
        <v>3</v>
      </c>
      <c r="D18" t="s">
        <v>433</v>
      </c>
      <c r="E18" t="s">
        <v>216</v>
      </c>
      <c r="F18" t="s">
        <v>19</v>
      </c>
    </row>
    <row r="19" spans="1:6" x14ac:dyDescent="0.3">
      <c r="A19" t="s">
        <v>212</v>
      </c>
      <c r="B19" t="s">
        <v>217</v>
      </c>
      <c r="C19">
        <v>3</v>
      </c>
      <c r="D19" t="s">
        <v>433</v>
      </c>
      <c r="E19" t="s">
        <v>218</v>
      </c>
      <c r="F19" t="s">
        <v>36</v>
      </c>
    </row>
    <row r="20" spans="1:6" x14ac:dyDescent="0.3">
      <c r="A20" t="s">
        <v>219</v>
      </c>
      <c r="B20" t="s">
        <v>220</v>
      </c>
      <c r="C20">
        <v>2</v>
      </c>
      <c r="D20" t="s">
        <v>432</v>
      </c>
      <c r="E20" t="s">
        <v>221</v>
      </c>
      <c r="F20" t="s">
        <v>43</v>
      </c>
    </row>
    <row r="21" spans="1:6" x14ac:dyDescent="0.3">
      <c r="A21" t="s">
        <v>222</v>
      </c>
      <c r="B21" t="s">
        <v>223</v>
      </c>
      <c r="E21" t="s">
        <v>224</v>
      </c>
      <c r="F21" t="s">
        <v>39</v>
      </c>
    </row>
    <row r="22" spans="1:6" x14ac:dyDescent="0.3">
      <c r="A22" t="s">
        <v>222</v>
      </c>
      <c r="B22" t="s">
        <v>225</v>
      </c>
      <c r="E22" t="s">
        <v>226</v>
      </c>
      <c r="F22" t="s">
        <v>37</v>
      </c>
    </row>
    <row r="23" spans="1:6" x14ac:dyDescent="0.3">
      <c r="A23" t="s">
        <v>222</v>
      </c>
      <c r="B23" t="s">
        <v>227</v>
      </c>
      <c r="E23" t="s">
        <v>228</v>
      </c>
      <c r="F23" t="s">
        <v>191</v>
      </c>
    </row>
    <row r="24" spans="1:6" x14ac:dyDescent="0.3">
      <c r="A24" t="s">
        <v>222</v>
      </c>
      <c r="B24" t="s">
        <v>229</v>
      </c>
      <c r="E24" t="s">
        <v>230</v>
      </c>
      <c r="F24" t="s">
        <v>231</v>
      </c>
    </row>
    <row r="25" spans="1:6" x14ac:dyDescent="0.3">
      <c r="A25" t="s">
        <v>222</v>
      </c>
      <c r="B25" t="s">
        <v>229</v>
      </c>
      <c r="E25" t="s">
        <v>232</v>
      </c>
      <c r="F25" t="s">
        <v>31</v>
      </c>
    </row>
    <row r="26" spans="1:6" x14ac:dyDescent="0.3">
      <c r="A26" t="s">
        <v>222</v>
      </c>
      <c r="B26" t="s">
        <v>229</v>
      </c>
      <c r="E26" t="s">
        <v>233</v>
      </c>
      <c r="F26" t="s">
        <v>100</v>
      </c>
    </row>
    <row r="27" spans="1:6" x14ac:dyDescent="0.3">
      <c r="A27" t="s">
        <v>222</v>
      </c>
      <c r="B27" t="s">
        <v>229</v>
      </c>
      <c r="E27" t="s">
        <v>234</v>
      </c>
      <c r="F27" t="s">
        <v>191</v>
      </c>
    </row>
    <row r="28" spans="1:6" x14ac:dyDescent="0.3">
      <c r="A28" t="s">
        <v>235</v>
      </c>
      <c r="B28" t="s">
        <v>236</v>
      </c>
      <c r="E28" t="s">
        <v>237</v>
      </c>
      <c r="F28" t="s">
        <v>39</v>
      </c>
    </row>
    <row r="29" spans="1:6" x14ac:dyDescent="0.3">
      <c r="A29" t="s">
        <v>235</v>
      </c>
      <c r="B29" t="s">
        <v>238</v>
      </c>
      <c r="E29" t="s">
        <v>239</v>
      </c>
      <c r="F29" t="s">
        <v>186</v>
      </c>
    </row>
    <row r="30" spans="1:6" x14ac:dyDescent="0.3">
      <c r="A30" t="s">
        <v>235</v>
      </c>
      <c r="B30" t="s">
        <v>240</v>
      </c>
      <c r="E30" t="s">
        <v>241</v>
      </c>
      <c r="F30" t="s">
        <v>37</v>
      </c>
    </row>
    <row r="31" spans="1:6" x14ac:dyDescent="0.3">
      <c r="A31" t="s">
        <v>235</v>
      </c>
      <c r="B31" t="s">
        <v>242</v>
      </c>
      <c r="E31" t="s">
        <v>243</v>
      </c>
      <c r="F31" t="s">
        <v>37</v>
      </c>
    </row>
    <row r="32" spans="1:6" x14ac:dyDescent="0.3">
      <c r="A32" t="s">
        <v>235</v>
      </c>
      <c r="B32" t="s">
        <v>244</v>
      </c>
      <c r="E32" t="s">
        <v>245</v>
      </c>
      <c r="F32" t="s">
        <v>16</v>
      </c>
    </row>
    <row r="33" spans="1:6" x14ac:dyDescent="0.3">
      <c r="A33" t="s">
        <v>235</v>
      </c>
      <c r="B33" t="s">
        <v>246</v>
      </c>
      <c r="E33" t="s">
        <v>247</v>
      </c>
      <c r="F33" t="s">
        <v>208</v>
      </c>
    </row>
    <row r="34" spans="1:6" x14ac:dyDescent="0.3">
      <c r="A34" t="s">
        <v>235</v>
      </c>
      <c r="B34" t="s">
        <v>248</v>
      </c>
      <c r="E34" t="s">
        <v>249</v>
      </c>
      <c r="F34" t="s">
        <v>33</v>
      </c>
    </row>
    <row r="35" spans="1:6" x14ac:dyDescent="0.3">
      <c r="A35" t="s">
        <v>235</v>
      </c>
      <c r="B35" t="s">
        <v>250</v>
      </c>
      <c r="E35" t="s">
        <v>251</v>
      </c>
      <c r="F35" t="s">
        <v>93</v>
      </c>
    </row>
    <row r="36" spans="1:6" x14ac:dyDescent="0.3">
      <c r="A36" t="s">
        <v>235</v>
      </c>
      <c r="B36" t="s">
        <v>252</v>
      </c>
      <c r="E36" t="s">
        <v>253</v>
      </c>
      <c r="F36" t="s">
        <v>208</v>
      </c>
    </row>
    <row r="37" spans="1:6" x14ac:dyDescent="0.3">
      <c r="A37" t="s">
        <v>235</v>
      </c>
      <c r="B37" t="s">
        <v>254</v>
      </c>
      <c r="E37" t="s">
        <v>255</v>
      </c>
      <c r="F37" t="s">
        <v>37</v>
      </c>
    </row>
    <row r="38" spans="1:6" x14ac:dyDescent="0.3">
      <c r="A38" t="s">
        <v>256</v>
      </c>
      <c r="B38" t="s">
        <v>257</v>
      </c>
      <c r="E38" t="s">
        <v>258</v>
      </c>
      <c r="F38" t="s">
        <v>15</v>
      </c>
    </row>
    <row r="39" spans="1:6" x14ac:dyDescent="0.3">
      <c r="A39" t="s">
        <v>256</v>
      </c>
      <c r="B39" t="s">
        <v>259</v>
      </c>
      <c r="E39" t="s">
        <v>260</v>
      </c>
      <c r="F39" t="s">
        <v>101</v>
      </c>
    </row>
    <row r="40" spans="1:6" x14ac:dyDescent="0.3">
      <c r="A40" t="s">
        <v>256</v>
      </c>
      <c r="B40" t="s">
        <v>261</v>
      </c>
      <c r="E40" t="s">
        <v>262</v>
      </c>
      <c r="F40" t="s">
        <v>34</v>
      </c>
    </row>
    <row r="41" spans="1:6" x14ac:dyDescent="0.3">
      <c r="A41" t="s">
        <v>256</v>
      </c>
      <c r="B41" t="s">
        <v>263</v>
      </c>
      <c r="E41" t="s">
        <v>264</v>
      </c>
      <c r="F41" t="s">
        <v>16</v>
      </c>
    </row>
    <row r="42" spans="1:6" x14ac:dyDescent="0.3">
      <c r="A42" t="s">
        <v>265</v>
      </c>
      <c r="B42" t="s">
        <v>266</v>
      </c>
      <c r="E42" t="s">
        <v>267</v>
      </c>
      <c r="F42" t="s">
        <v>191</v>
      </c>
    </row>
    <row r="43" spans="1:6" x14ac:dyDescent="0.3">
      <c r="A43" t="s">
        <v>265</v>
      </c>
      <c r="B43" t="s">
        <v>268</v>
      </c>
      <c r="C43">
        <v>1</v>
      </c>
      <c r="D43" t="s">
        <v>426</v>
      </c>
      <c r="E43" t="s">
        <v>269</v>
      </c>
      <c r="F43" t="s">
        <v>93</v>
      </c>
    </row>
    <row r="44" spans="1:6" x14ac:dyDescent="0.3">
      <c r="A44" t="s">
        <v>270</v>
      </c>
      <c r="B44" t="s">
        <v>271</v>
      </c>
      <c r="E44" t="s">
        <v>272</v>
      </c>
      <c r="F44" t="s">
        <v>101</v>
      </c>
    </row>
    <row r="45" spans="1:6" x14ac:dyDescent="0.3">
      <c r="A45" t="s">
        <v>270</v>
      </c>
      <c r="B45" t="s">
        <v>271</v>
      </c>
      <c r="E45" t="s">
        <v>273</v>
      </c>
      <c r="F45" t="s">
        <v>186</v>
      </c>
    </row>
    <row r="46" spans="1:6" x14ac:dyDescent="0.3">
      <c r="A46" t="s">
        <v>270</v>
      </c>
      <c r="B46" t="s">
        <v>274</v>
      </c>
      <c r="E46" t="s">
        <v>275</v>
      </c>
      <c r="F46" t="s">
        <v>101</v>
      </c>
    </row>
    <row r="47" spans="1:6" x14ac:dyDescent="0.3">
      <c r="A47" t="s">
        <v>270</v>
      </c>
      <c r="B47" t="s">
        <v>276</v>
      </c>
      <c r="E47" t="s">
        <v>277</v>
      </c>
      <c r="F47" t="s">
        <v>31</v>
      </c>
    </row>
    <row r="48" spans="1:6" x14ac:dyDescent="0.3">
      <c r="A48" t="s">
        <v>278</v>
      </c>
      <c r="B48" t="s">
        <v>279</v>
      </c>
      <c r="E48" t="s">
        <v>280</v>
      </c>
      <c r="F48" t="s">
        <v>21</v>
      </c>
    </row>
    <row r="49" spans="1:6" x14ac:dyDescent="0.3">
      <c r="A49" t="s">
        <v>281</v>
      </c>
      <c r="B49" t="s">
        <v>282</v>
      </c>
      <c r="E49" t="s">
        <v>283</v>
      </c>
      <c r="F49" t="s">
        <v>25</v>
      </c>
    </row>
    <row r="50" spans="1:6" x14ac:dyDescent="0.3">
      <c r="A50" t="s">
        <v>281</v>
      </c>
      <c r="B50" t="s">
        <v>282</v>
      </c>
      <c r="E50" t="s">
        <v>284</v>
      </c>
      <c r="F50" t="s">
        <v>186</v>
      </c>
    </row>
    <row r="51" spans="1:6" x14ac:dyDescent="0.3">
      <c r="A51" t="s">
        <v>281</v>
      </c>
      <c r="B51" t="s">
        <v>285</v>
      </c>
      <c r="E51" t="s">
        <v>286</v>
      </c>
      <c r="F51" t="s">
        <v>100</v>
      </c>
    </row>
    <row r="52" spans="1:6" x14ac:dyDescent="0.3">
      <c r="A52" t="s">
        <v>281</v>
      </c>
      <c r="B52" t="s">
        <v>285</v>
      </c>
      <c r="E52" t="s">
        <v>287</v>
      </c>
      <c r="F52" t="s">
        <v>100</v>
      </c>
    </row>
    <row r="53" spans="1:6" x14ac:dyDescent="0.3">
      <c r="A53" t="s">
        <v>281</v>
      </c>
      <c r="B53" t="s">
        <v>285</v>
      </c>
      <c r="E53" t="s">
        <v>288</v>
      </c>
      <c r="F53" t="s">
        <v>34</v>
      </c>
    </row>
    <row r="54" spans="1:6" x14ac:dyDescent="0.3">
      <c r="A54" t="s">
        <v>281</v>
      </c>
      <c r="B54" t="s">
        <v>289</v>
      </c>
      <c r="E54" t="s">
        <v>290</v>
      </c>
      <c r="F54" t="s">
        <v>43</v>
      </c>
    </row>
    <row r="55" spans="1:6" x14ac:dyDescent="0.3">
      <c r="A55" t="s">
        <v>281</v>
      </c>
      <c r="B55" t="s">
        <v>291</v>
      </c>
      <c r="E55" t="s">
        <v>292</v>
      </c>
      <c r="F55" t="s">
        <v>19</v>
      </c>
    </row>
    <row r="56" spans="1:6" x14ac:dyDescent="0.3">
      <c r="A56" t="s">
        <v>281</v>
      </c>
      <c r="B56" t="s">
        <v>293</v>
      </c>
      <c r="E56" t="s">
        <v>294</v>
      </c>
      <c r="F56" t="s">
        <v>19</v>
      </c>
    </row>
    <row r="57" spans="1:6" x14ac:dyDescent="0.3">
      <c r="A57" t="s">
        <v>281</v>
      </c>
      <c r="B57" t="s">
        <v>295</v>
      </c>
      <c r="E57" t="s">
        <v>296</v>
      </c>
      <c r="F57" t="s">
        <v>191</v>
      </c>
    </row>
    <row r="58" spans="1:6" x14ac:dyDescent="0.3">
      <c r="A58" t="s">
        <v>281</v>
      </c>
      <c r="B58" t="s">
        <v>297</v>
      </c>
      <c r="E58" t="s">
        <v>298</v>
      </c>
      <c r="F58" t="s">
        <v>299</v>
      </c>
    </row>
    <row r="59" spans="1:6" x14ac:dyDescent="0.3">
      <c r="A59" t="s">
        <v>281</v>
      </c>
      <c r="B59" t="s">
        <v>300</v>
      </c>
      <c r="E59" t="s">
        <v>301</v>
      </c>
      <c r="F59" t="s">
        <v>31</v>
      </c>
    </row>
    <row r="60" spans="1:6" x14ac:dyDescent="0.3">
      <c r="A60" t="s">
        <v>281</v>
      </c>
      <c r="B60" t="s">
        <v>302</v>
      </c>
      <c r="E60" t="s">
        <v>303</v>
      </c>
      <c r="F60" t="s">
        <v>31</v>
      </c>
    </row>
    <row r="61" spans="1:6" x14ac:dyDescent="0.3">
      <c r="A61" t="s">
        <v>281</v>
      </c>
      <c r="B61" t="s">
        <v>302</v>
      </c>
      <c r="E61" t="s">
        <v>304</v>
      </c>
      <c r="F61" t="s">
        <v>36</v>
      </c>
    </row>
    <row r="62" spans="1:6" x14ac:dyDescent="0.3">
      <c r="A62" t="s">
        <v>305</v>
      </c>
      <c r="B62" t="s">
        <v>306</v>
      </c>
      <c r="C62">
        <v>4</v>
      </c>
      <c r="D62" t="s">
        <v>434</v>
      </c>
      <c r="E62" t="s">
        <v>307</v>
      </c>
      <c r="F62" t="s">
        <v>231</v>
      </c>
    </row>
    <row r="63" spans="1:6" x14ac:dyDescent="0.3">
      <c r="A63" t="s">
        <v>305</v>
      </c>
      <c r="B63" t="s">
        <v>306</v>
      </c>
      <c r="C63">
        <v>4</v>
      </c>
      <c r="D63" t="s">
        <v>434</v>
      </c>
      <c r="E63" t="s">
        <v>308</v>
      </c>
      <c r="F63" t="s">
        <v>186</v>
      </c>
    </row>
    <row r="64" spans="1:6" x14ac:dyDescent="0.3">
      <c r="A64" t="s">
        <v>305</v>
      </c>
      <c r="B64" t="s">
        <v>309</v>
      </c>
      <c r="C64">
        <v>4</v>
      </c>
      <c r="D64" t="s">
        <v>434</v>
      </c>
      <c r="E64" t="s">
        <v>310</v>
      </c>
      <c r="F64" t="s">
        <v>24</v>
      </c>
    </row>
    <row r="65" spans="1:6" x14ac:dyDescent="0.3">
      <c r="A65" t="s">
        <v>305</v>
      </c>
      <c r="B65" t="s">
        <v>309</v>
      </c>
      <c r="C65">
        <v>4</v>
      </c>
      <c r="D65" t="s">
        <v>434</v>
      </c>
      <c r="E65" t="s">
        <v>311</v>
      </c>
      <c r="F65" t="s">
        <v>312</v>
      </c>
    </row>
    <row r="66" spans="1:6" x14ac:dyDescent="0.3">
      <c r="A66" t="s">
        <v>305</v>
      </c>
      <c r="B66" t="s">
        <v>313</v>
      </c>
      <c r="E66" t="s">
        <v>314</v>
      </c>
      <c r="F66" t="s">
        <v>186</v>
      </c>
    </row>
    <row r="67" spans="1:6" x14ac:dyDescent="0.3">
      <c r="A67" t="s">
        <v>305</v>
      </c>
      <c r="B67" t="s">
        <v>313</v>
      </c>
      <c r="E67" t="s">
        <v>315</v>
      </c>
      <c r="F67" t="s">
        <v>37</v>
      </c>
    </row>
    <row r="68" spans="1:6" x14ac:dyDescent="0.3">
      <c r="A68" t="s">
        <v>305</v>
      </c>
      <c r="B68" t="s">
        <v>316</v>
      </c>
      <c r="E68" t="s">
        <v>317</v>
      </c>
      <c r="F68" t="s">
        <v>36</v>
      </c>
    </row>
    <row r="69" spans="1:6" x14ac:dyDescent="0.3">
      <c r="A69" t="s">
        <v>305</v>
      </c>
      <c r="B69" t="s">
        <v>318</v>
      </c>
      <c r="C69">
        <v>4</v>
      </c>
      <c r="D69" t="s">
        <v>434</v>
      </c>
      <c r="E69" t="s">
        <v>319</v>
      </c>
      <c r="F69" t="s">
        <v>39</v>
      </c>
    </row>
    <row r="70" spans="1:6" x14ac:dyDescent="0.3">
      <c r="A70" t="s">
        <v>305</v>
      </c>
      <c r="B70" t="s">
        <v>320</v>
      </c>
      <c r="E70" t="s">
        <v>321</v>
      </c>
      <c r="F70" t="s">
        <v>37</v>
      </c>
    </row>
    <row r="71" spans="1:6" x14ac:dyDescent="0.3">
      <c r="A71" t="s">
        <v>322</v>
      </c>
      <c r="B71" t="s">
        <v>323</v>
      </c>
      <c r="C71">
        <v>1</v>
      </c>
      <c r="D71" t="s">
        <v>426</v>
      </c>
      <c r="E71" t="s">
        <v>324</v>
      </c>
      <c r="F71" t="s">
        <v>24</v>
      </c>
    </row>
    <row r="72" spans="1:6" x14ac:dyDescent="0.3">
      <c r="A72" t="s">
        <v>322</v>
      </c>
      <c r="B72" t="s">
        <v>325</v>
      </c>
      <c r="C72">
        <v>2</v>
      </c>
      <c r="D72" t="s">
        <v>432</v>
      </c>
      <c r="E72" t="s">
        <v>326</v>
      </c>
      <c r="F72" t="s">
        <v>25</v>
      </c>
    </row>
    <row r="73" spans="1:6" x14ac:dyDescent="0.3">
      <c r="A73" t="s">
        <v>322</v>
      </c>
      <c r="B73" t="s">
        <v>327</v>
      </c>
      <c r="E73" t="s">
        <v>328</v>
      </c>
      <c r="F73" t="s">
        <v>186</v>
      </c>
    </row>
    <row r="74" spans="1:6" x14ac:dyDescent="0.3">
      <c r="A74" t="s">
        <v>322</v>
      </c>
      <c r="B74" t="s">
        <v>329</v>
      </c>
      <c r="E74" t="s">
        <v>330</v>
      </c>
      <c r="F74" t="s">
        <v>186</v>
      </c>
    </row>
    <row r="75" spans="1:6" x14ac:dyDescent="0.3">
      <c r="A75" t="s">
        <v>322</v>
      </c>
      <c r="B75" t="s">
        <v>331</v>
      </c>
      <c r="E75" t="s">
        <v>332</v>
      </c>
      <c r="F75" t="s">
        <v>186</v>
      </c>
    </row>
    <row r="76" spans="1:6" x14ac:dyDescent="0.3">
      <c r="A76" t="s">
        <v>322</v>
      </c>
      <c r="B76" t="s">
        <v>333</v>
      </c>
      <c r="E76" t="s">
        <v>334</v>
      </c>
      <c r="F76" t="s">
        <v>25</v>
      </c>
    </row>
    <row r="77" spans="1:6" x14ac:dyDescent="0.3">
      <c r="A77" t="s">
        <v>322</v>
      </c>
      <c r="B77" t="s">
        <v>335</v>
      </c>
      <c r="E77" t="s">
        <v>336</v>
      </c>
      <c r="F77" t="s">
        <v>16</v>
      </c>
    </row>
    <row r="78" spans="1:6" x14ac:dyDescent="0.3">
      <c r="A78" t="s">
        <v>322</v>
      </c>
      <c r="B78" t="s">
        <v>337</v>
      </c>
      <c r="E78" t="s">
        <v>338</v>
      </c>
      <c r="F78" t="s">
        <v>93</v>
      </c>
    </row>
    <row r="79" spans="1:6" x14ac:dyDescent="0.3">
      <c r="A79" t="s">
        <v>322</v>
      </c>
      <c r="B79" t="s">
        <v>339</v>
      </c>
      <c r="E79" t="s">
        <v>340</v>
      </c>
      <c r="F79" t="s">
        <v>37</v>
      </c>
    </row>
    <row r="80" spans="1:6" x14ac:dyDescent="0.3">
      <c r="A80" t="s">
        <v>322</v>
      </c>
      <c r="B80" t="s">
        <v>341</v>
      </c>
      <c r="E80" t="s">
        <v>342</v>
      </c>
      <c r="F80" t="s">
        <v>36</v>
      </c>
    </row>
    <row r="81" spans="1:6" x14ac:dyDescent="0.3">
      <c r="A81" t="s">
        <v>322</v>
      </c>
      <c r="B81" t="s">
        <v>343</v>
      </c>
      <c r="E81" t="s">
        <v>344</v>
      </c>
      <c r="F81" t="s">
        <v>299</v>
      </c>
    </row>
    <row r="82" spans="1:6" x14ac:dyDescent="0.3">
      <c r="A82" t="s">
        <v>322</v>
      </c>
      <c r="B82" t="s">
        <v>345</v>
      </c>
      <c r="E82" t="s">
        <v>346</v>
      </c>
      <c r="F82" t="s">
        <v>31</v>
      </c>
    </row>
    <row r="83" spans="1:6" x14ac:dyDescent="0.3">
      <c r="A83" t="s">
        <v>322</v>
      </c>
      <c r="B83" t="s">
        <v>345</v>
      </c>
      <c r="E83" t="s">
        <v>347</v>
      </c>
      <c r="F83" t="s">
        <v>31</v>
      </c>
    </row>
    <row r="84" spans="1:6" x14ac:dyDescent="0.3">
      <c r="A84" t="s">
        <v>322</v>
      </c>
      <c r="B84" t="s">
        <v>348</v>
      </c>
      <c r="E84" t="s">
        <v>349</v>
      </c>
      <c r="F84" t="s">
        <v>186</v>
      </c>
    </row>
    <row r="85" spans="1:6" x14ac:dyDescent="0.3">
      <c r="A85" t="s">
        <v>322</v>
      </c>
      <c r="B85" t="s">
        <v>350</v>
      </c>
      <c r="E85" t="s">
        <v>351</v>
      </c>
      <c r="F85" t="s">
        <v>25</v>
      </c>
    </row>
    <row r="86" spans="1:6" x14ac:dyDescent="0.3">
      <c r="A86" t="s">
        <v>322</v>
      </c>
      <c r="B86" t="s">
        <v>352</v>
      </c>
      <c r="E86" t="s">
        <v>353</v>
      </c>
      <c r="F86" t="s">
        <v>38</v>
      </c>
    </row>
    <row r="87" spans="1:6" x14ac:dyDescent="0.3">
      <c r="A87" t="s">
        <v>322</v>
      </c>
      <c r="B87" t="s">
        <v>352</v>
      </c>
      <c r="E87" t="s">
        <v>354</v>
      </c>
      <c r="F87" t="s">
        <v>25</v>
      </c>
    </row>
    <row r="88" spans="1:6" x14ac:dyDescent="0.3">
      <c r="A88" t="s">
        <v>355</v>
      </c>
      <c r="B88" t="s">
        <v>356</v>
      </c>
      <c r="E88" t="s">
        <v>357</v>
      </c>
      <c r="F88" t="s">
        <v>36</v>
      </c>
    </row>
    <row r="89" spans="1:6" x14ac:dyDescent="0.3">
      <c r="A89" t="s">
        <v>355</v>
      </c>
      <c r="B89" t="s">
        <v>356</v>
      </c>
      <c r="E89" t="s">
        <v>358</v>
      </c>
      <c r="F89" t="s">
        <v>34</v>
      </c>
    </row>
    <row r="90" spans="1:6" x14ac:dyDescent="0.3">
      <c r="A90" t="s">
        <v>355</v>
      </c>
      <c r="B90" t="s">
        <v>359</v>
      </c>
      <c r="E90" t="s">
        <v>360</v>
      </c>
      <c r="F90" t="s">
        <v>208</v>
      </c>
    </row>
    <row r="91" spans="1:6" x14ac:dyDescent="0.3">
      <c r="A91" t="s">
        <v>355</v>
      </c>
      <c r="B91" t="s">
        <v>359</v>
      </c>
      <c r="E91" t="s">
        <v>361</v>
      </c>
      <c r="F91" t="s">
        <v>43</v>
      </c>
    </row>
    <row r="92" spans="1:6" x14ac:dyDescent="0.3">
      <c r="A92" t="s">
        <v>355</v>
      </c>
      <c r="B92" t="s">
        <v>362</v>
      </c>
      <c r="E92" t="s">
        <v>363</v>
      </c>
      <c r="F92" t="s">
        <v>100</v>
      </c>
    </row>
    <row r="93" spans="1:6" x14ac:dyDescent="0.3">
      <c r="A93" t="s">
        <v>355</v>
      </c>
      <c r="B93" t="s">
        <v>364</v>
      </c>
      <c r="E93" t="s">
        <v>365</v>
      </c>
      <c r="F93" t="s">
        <v>25</v>
      </c>
    </row>
    <row r="94" spans="1:6" x14ac:dyDescent="0.3">
      <c r="A94" t="s">
        <v>355</v>
      </c>
      <c r="B94" t="s">
        <v>366</v>
      </c>
      <c r="C94">
        <v>2</v>
      </c>
      <c r="D94" t="s">
        <v>432</v>
      </c>
      <c r="E94" t="s">
        <v>367</v>
      </c>
      <c r="F94" t="s">
        <v>208</v>
      </c>
    </row>
    <row r="95" spans="1:6" x14ac:dyDescent="0.3">
      <c r="A95" t="s">
        <v>355</v>
      </c>
      <c r="B95" t="s">
        <v>368</v>
      </c>
      <c r="E95" t="s">
        <v>369</v>
      </c>
      <c r="F95" t="s">
        <v>36</v>
      </c>
    </row>
    <row r="96" spans="1:6" x14ac:dyDescent="0.3">
      <c r="A96" t="s">
        <v>370</v>
      </c>
      <c r="B96" t="s">
        <v>371</v>
      </c>
      <c r="E96" t="s">
        <v>372</v>
      </c>
      <c r="F96" t="s">
        <v>93</v>
      </c>
    </row>
    <row r="97" spans="1:6" x14ac:dyDescent="0.3">
      <c r="A97" t="s">
        <v>370</v>
      </c>
      <c r="B97" t="s">
        <v>373</v>
      </c>
      <c r="E97" t="s">
        <v>374</v>
      </c>
      <c r="F97" t="s">
        <v>312</v>
      </c>
    </row>
    <row r="98" spans="1:6" x14ac:dyDescent="0.3">
      <c r="A98" t="s">
        <v>370</v>
      </c>
      <c r="B98" t="s">
        <v>373</v>
      </c>
      <c r="E98" t="s">
        <v>375</v>
      </c>
      <c r="F98" t="s">
        <v>36</v>
      </c>
    </row>
    <row r="99" spans="1:6" x14ac:dyDescent="0.3">
      <c r="A99" t="s">
        <v>370</v>
      </c>
      <c r="B99" t="s">
        <v>373</v>
      </c>
      <c r="E99" t="s">
        <v>376</v>
      </c>
      <c r="F99" t="s">
        <v>208</v>
      </c>
    </row>
    <row r="100" spans="1:6" x14ac:dyDescent="0.3">
      <c r="A100" t="s">
        <v>370</v>
      </c>
      <c r="B100" t="s">
        <v>377</v>
      </c>
      <c r="E100" t="s">
        <v>378</v>
      </c>
      <c r="F100" t="s">
        <v>208</v>
      </c>
    </row>
    <row r="101" spans="1:6" x14ac:dyDescent="0.3">
      <c r="A101" t="s">
        <v>370</v>
      </c>
      <c r="B101" t="s">
        <v>379</v>
      </c>
      <c r="E101" t="s">
        <v>380</v>
      </c>
      <c r="F101" t="s">
        <v>39</v>
      </c>
    </row>
    <row r="102" spans="1:6" x14ac:dyDescent="0.3">
      <c r="A102" t="s">
        <v>370</v>
      </c>
      <c r="B102" t="s">
        <v>381</v>
      </c>
      <c r="E102" t="s">
        <v>382</v>
      </c>
      <c r="F102" t="s">
        <v>33</v>
      </c>
    </row>
    <row r="103" spans="1:6" x14ac:dyDescent="0.3">
      <c r="A103" t="s">
        <v>370</v>
      </c>
      <c r="B103" t="s">
        <v>383</v>
      </c>
      <c r="E103" t="s">
        <v>384</v>
      </c>
      <c r="F103" t="s">
        <v>31</v>
      </c>
    </row>
    <row r="104" spans="1:6" x14ac:dyDescent="0.3">
      <c r="A104" t="s">
        <v>370</v>
      </c>
      <c r="B104" t="s">
        <v>385</v>
      </c>
      <c r="E104" t="s">
        <v>386</v>
      </c>
      <c r="F104" t="s">
        <v>299</v>
      </c>
    </row>
    <row r="105" spans="1:6" x14ac:dyDescent="0.3">
      <c r="A105" t="s">
        <v>370</v>
      </c>
      <c r="B105" t="s">
        <v>385</v>
      </c>
      <c r="E105" t="s">
        <v>387</v>
      </c>
      <c r="F105" t="s">
        <v>39</v>
      </c>
    </row>
    <row r="106" spans="1:6" x14ac:dyDescent="0.3">
      <c r="A106" t="s">
        <v>429</v>
      </c>
      <c r="B106" t="s">
        <v>388</v>
      </c>
      <c r="C106">
        <v>1</v>
      </c>
      <c r="D106" t="s">
        <v>426</v>
      </c>
      <c r="E106" t="s">
        <v>389</v>
      </c>
      <c r="F106" t="s">
        <v>25</v>
      </c>
    </row>
    <row r="107" spans="1:6" x14ac:dyDescent="0.3">
      <c r="A107" t="s">
        <v>429</v>
      </c>
      <c r="B107" t="s">
        <v>390</v>
      </c>
      <c r="E107" t="s">
        <v>391</v>
      </c>
      <c r="F107" t="s">
        <v>15</v>
      </c>
    </row>
    <row r="108" spans="1:6" x14ac:dyDescent="0.3">
      <c r="A108" t="s">
        <v>429</v>
      </c>
      <c r="B108" t="s">
        <v>392</v>
      </c>
      <c r="C108">
        <v>1</v>
      </c>
      <c r="D108" t="s">
        <v>426</v>
      </c>
      <c r="E108" t="s">
        <v>393</v>
      </c>
      <c r="F108" t="s">
        <v>15</v>
      </c>
    </row>
    <row r="109" spans="1:6" x14ac:dyDescent="0.3">
      <c r="A109" t="s">
        <v>429</v>
      </c>
      <c r="B109" t="s">
        <v>394</v>
      </c>
      <c r="C109">
        <v>1</v>
      </c>
      <c r="D109" t="s">
        <v>426</v>
      </c>
      <c r="E109" t="s">
        <v>395</v>
      </c>
      <c r="F109" t="s">
        <v>15</v>
      </c>
    </row>
    <row r="110" spans="1:6" x14ac:dyDescent="0.3">
      <c r="A110" t="s">
        <v>428</v>
      </c>
      <c r="B110" t="s">
        <v>396</v>
      </c>
      <c r="E110" t="s">
        <v>397</v>
      </c>
      <c r="F110" t="s">
        <v>15</v>
      </c>
    </row>
    <row r="111" spans="1:6" x14ac:dyDescent="0.3">
      <c r="A111" t="s">
        <v>428</v>
      </c>
      <c r="B111" t="s">
        <v>396</v>
      </c>
      <c r="E111" t="s">
        <v>398</v>
      </c>
      <c r="F111" t="s">
        <v>36</v>
      </c>
    </row>
    <row r="112" spans="1:6" x14ac:dyDescent="0.3">
      <c r="A112" t="s">
        <v>428</v>
      </c>
      <c r="B112" t="s">
        <v>396</v>
      </c>
      <c r="E112" t="s">
        <v>399</v>
      </c>
      <c r="F112" t="s">
        <v>37</v>
      </c>
    </row>
    <row r="113" spans="1:6" x14ac:dyDescent="0.3">
      <c r="A113" t="s">
        <v>428</v>
      </c>
      <c r="B113" t="s">
        <v>400</v>
      </c>
      <c r="C113">
        <v>1</v>
      </c>
      <c r="D113" t="s">
        <v>426</v>
      </c>
      <c r="E113" t="s">
        <v>401</v>
      </c>
      <c r="F113" t="s">
        <v>100</v>
      </c>
    </row>
    <row r="114" spans="1:6" x14ac:dyDescent="0.3">
      <c r="A114" t="s">
        <v>428</v>
      </c>
      <c r="B114" t="s">
        <v>402</v>
      </c>
      <c r="E114" t="s">
        <v>403</v>
      </c>
      <c r="F114" t="s">
        <v>100</v>
      </c>
    </row>
    <row r="115" spans="1:6" x14ac:dyDescent="0.3">
      <c r="A115" t="s">
        <v>427</v>
      </c>
      <c r="B115" t="s">
        <v>404</v>
      </c>
      <c r="E115" t="s">
        <v>405</v>
      </c>
      <c r="F115" t="s">
        <v>36</v>
      </c>
    </row>
    <row r="116" spans="1:6" x14ac:dyDescent="0.3">
      <c r="A116" t="s">
        <v>427</v>
      </c>
      <c r="B116" t="s">
        <v>406</v>
      </c>
      <c r="E116" t="s">
        <v>407</v>
      </c>
      <c r="F116" t="s">
        <v>15</v>
      </c>
    </row>
    <row r="117" spans="1:6" x14ac:dyDescent="0.3">
      <c r="A117" t="s">
        <v>427</v>
      </c>
      <c r="B117" t="s">
        <v>408</v>
      </c>
      <c r="E117" t="s">
        <v>409</v>
      </c>
      <c r="F117" t="s">
        <v>15</v>
      </c>
    </row>
    <row r="118" spans="1:6" x14ac:dyDescent="0.3">
      <c r="A118" t="s">
        <v>426</v>
      </c>
      <c r="B118" t="s">
        <v>410</v>
      </c>
      <c r="C118">
        <v>1</v>
      </c>
      <c r="D118" t="s">
        <v>426</v>
      </c>
      <c r="E118" t="s">
        <v>411</v>
      </c>
      <c r="F118" t="s">
        <v>25</v>
      </c>
    </row>
    <row r="119" spans="1:6" x14ac:dyDescent="0.3">
      <c r="A119" t="s">
        <v>426</v>
      </c>
      <c r="B119" t="s">
        <v>410</v>
      </c>
      <c r="C119">
        <v>1</v>
      </c>
      <c r="D119" t="s">
        <v>426</v>
      </c>
      <c r="E119" t="s">
        <v>412</v>
      </c>
      <c r="F119" t="s">
        <v>36</v>
      </c>
    </row>
    <row r="120" spans="1:6" x14ac:dyDescent="0.3">
      <c r="A120" t="s">
        <v>426</v>
      </c>
      <c r="B120" t="s">
        <v>413</v>
      </c>
      <c r="C120">
        <v>1</v>
      </c>
      <c r="D120" t="s">
        <v>426</v>
      </c>
      <c r="E120" t="s">
        <v>414</v>
      </c>
      <c r="F120" t="s">
        <v>19</v>
      </c>
    </row>
    <row r="121" spans="1:6" x14ac:dyDescent="0.3">
      <c r="A121" t="s">
        <v>426</v>
      </c>
      <c r="B121" t="s">
        <v>415</v>
      </c>
      <c r="C121">
        <v>1</v>
      </c>
      <c r="D121" t="s">
        <v>426</v>
      </c>
      <c r="E121" t="s">
        <v>416</v>
      </c>
      <c r="F121" t="s">
        <v>100</v>
      </c>
    </row>
    <row r="122" spans="1:6" x14ac:dyDescent="0.3">
      <c r="A122" t="s">
        <v>425</v>
      </c>
      <c r="B122" t="s">
        <v>417</v>
      </c>
      <c r="E122" t="s">
        <v>418</v>
      </c>
      <c r="F122" t="s">
        <v>15</v>
      </c>
    </row>
    <row r="123" spans="1:6" x14ac:dyDescent="0.3">
      <c r="A123" t="s">
        <v>425</v>
      </c>
      <c r="B123" t="s">
        <v>417</v>
      </c>
      <c r="E123" t="s">
        <v>419</v>
      </c>
      <c r="F123" t="s">
        <v>19</v>
      </c>
    </row>
    <row r="124" spans="1:6" x14ac:dyDescent="0.3">
      <c r="A124" t="s">
        <v>425</v>
      </c>
      <c r="B124" t="s">
        <v>417</v>
      </c>
      <c r="E124" t="s">
        <v>420</v>
      </c>
      <c r="F124" t="s">
        <v>36</v>
      </c>
    </row>
    <row r="125" spans="1:6" x14ac:dyDescent="0.3">
      <c r="A125" t="s">
        <v>425</v>
      </c>
      <c r="B125" t="s">
        <v>417</v>
      </c>
      <c r="E125" t="s">
        <v>421</v>
      </c>
      <c r="F125" t="s">
        <v>39</v>
      </c>
    </row>
    <row r="126" spans="1:6" x14ac:dyDescent="0.3">
      <c r="A126" t="s">
        <v>424</v>
      </c>
      <c r="B126" t="s">
        <v>422</v>
      </c>
      <c r="C126">
        <v>1</v>
      </c>
      <c r="D126" t="s">
        <v>426</v>
      </c>
      <c r="E126" t="s">
        <v>423</v>
      </c>
      <c r="F1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Results</vt:lpstr>
      <vt:lpstr>Suggested Improvements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conneran</dc:creator>
  <cp:lastModifiedBy>chris conneran</cp:lastModifiedBy>
  <dcterms:created xsi:type="dcterms:W3CDTF">2025-07-31T00:21:09Z</dcterms:created>
  <dcterms:modified xsi:type="dcterms:W3CDTF">2025-09-22T03:53:05Z</dcterms:modified>
</cp:coreProperties>
</file>